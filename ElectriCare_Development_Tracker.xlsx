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state="visible" r:id="rId4"/>
    <sheet sheetId="2" name="Development Plan" state="visible" r:id="rId5"/>
    <sheet sheetId="3" name="Development Calendar - Gantt" state="visible" r:id="rId6"/>
    <sheet sheetId="4" name="Module Tracker" state="visible" r:id="rId7"/>
    <sheet sheetId="5" name="Figma Screens by Module" state="visible" r:id="rId8"/>
    <sheet sheetId="6" name="Bugs &amp; Issues" state="visible" r:id="rId9"/>
    <sheet sheetId="7" name="Client Feedback - CR" state="visible" r:id="rId10"/>
    <sheet sheetId="8" name="Milestones" state="visible" r:id="rId11"/>
    <sheet sheetId="9" name="Dependencies" state="visible" r:id="rId12"/>
  </sheets>
  <calcPr calcId="171027"/>
</workbook>
</file>

<file path=xl/sharedStrings.xml><?xml version="1.0" encoding="utf-8"?>
<sst xmlns="http://schemas.openxmlformats.org/spreadsheetml/2006/main" count="2975" uniqueCount="713">
  <si>
    <t xml:space="preserve">⚡ ElectriCare — Proposed 2–3 Week Development Sprint / Initial Delivery Plan
Mission-Critical Electrical SaaS Platform • Multi-Tenant Architecture • Single-Developer Sequential Model</t>
  </si>
  <si>
    <t xml:space="preserve">IMPORTANT DELIVERY NOTICE FOR CLIENT &amp; STAKEHOLDERS:
"Timeline is a proposed initial delivery plan based on a single-developer development model. Two weeks represents the minimum target, while three weeks is the recommended working target to accommodate integration, QA, bug fixing and client feedback. Final dates may change based on actual implementation progress, third-party dependencies and scope changes."</t>
  </si>
  <si>
    <t>Engineering Model: 1 Solo Full-Stack Developer (Sequential Execution)</t>
  </si>
  <si>
    <t>Minimum Baseline: 2 Weeks (10–14 Days Core Functional Delivery)</t>
  </si>
  <si>
    <t>Recommended Target: 3 Weeks (21 Days Hardened Production Delivery)</t>
  </si>
  <si>
    <t>Current Repo Audit: Designed: 100% (53 Screens) | Functional: 100% (45 Tasks) | Approved: 100%</t>
  </si>
  <si>
    <t>Governance Criteria: Separated: Designed / Implemented / Functional / Tested / Approved</t>
  </si>
  <si>
    <t>OVERALL COMPLETION</t>
  </si>
  <si>
    <t>TASKS COMPLETED</t>
  </si>
  <si>
    <t>TASKS IN PROGRESS</t>
  </si>
  <si>
    <t>PENDING IMPLEMENTATION</t>
  </si>
  <si>
    <t>BLOCKERS / CRITICAL ISSUES</t>
  </si>
  <si>
    <t>Across 45 Sequential Tasks</t>
  </si>
  <si>
    <t>Functional / Tested / Approved</t>
  </si>
  <si>
    <t>Active Development Sprint</t>
  </si>
  <si>
    <t>Designed / Scheduled Tasks</t>
  </si>
  <si>
    <t>P0 Bugs / Blocking Tasks</t>
  </si>
  <si>
    <t>DUAL TIMELINE REFERENCE MODEL: MINIMUM TARGET (2 WEEKS) vs. RECOMMENDED TARGET (3 WEEKS)</t>
  </si>
  <si>
    <t>Module ID</t>
  </si>
  <si>
    <t>Major Module</t>
  </si>
  <si>
    <t>Designed</t>
  </si>
  <si>
    <t>Implemented</t>
  </si>
  <si>
    <t>Functional</t>
  </si>
  <si>
    <t>Tested</t>
  </si>
  <si>
    <t>Client Approved</t>
  </si>
  <si>
    <t>Minimum Target</t>
  </si>
  <si>
    <t>Recommended Target</t>
  </si>
  <si>
    <t>Module Health</t>
  </si>
  <si>
    <t>MOD-01</t>
  </si>
  <si>
    <t>1. Customer Mobile App</t>
  </si>
  <si>
    <t>100% (3 Screens)</t>
  </si>
  <si>
    <t>100%</t>
  </si>
  <si>
    <t>Pending</t>
  </si>
  <si>
    <t>Day 12.0</t>
  </si>
  <si>
    <t>Day 14.5</t>
  </si>
  <si>
    <t>MOD-02</t>
  </si>
  <si>
    <t>2. Technician Mobile App</t>
  </si>
  <si>
    <t>100% (5 Screens)</t>
  </si>
  <si>
    <t>Day 13.0</t>
  </si>
  <si>
    <t>Day 16.5</t>
  </si>
  <si>
    <t>MOD-03</t>
  </si>
  <si>
    <t>3. Partner Web/App</t>
  </si>
  <si>
    <t>100% (19 Screens)</t>
  </si>
  <si>
    <t>Day 9.5</t>
  </si>
  <si>
    <t>Day 11.5</t>
  </si>
  <si>
    <t>MOD-04</t>
  </si>
  <si>
    <t>4. Admin/Owner CRM</t>
  </si>
  <si>
    <t>100% (22 Screens)</t>
  </si>
  <si>
    <t>Day 7.5</t>
  </si>
  <si>
    <t>MOD-05</t>
  </si>
  <si>
    <t>5. Backend &amp; APIs</t>
  </si>
  <si>
    <t>100% (Flow Specs)</t>
  </si>
  <si>
    <t>Day 4.5</t>
  </si>
  <si>
    <t>Day 6.0</t>
  </si>
  <si>
    <t>MOD-06</t>
  </si>
  <si>
    <t>6. Integrations</t>
  </si>
  <si>
    <t>100% (API Specs)</t>
  </si>
  <si>
    <t>Day 5.5</t>
  </si>
  <si>
    <t>MOD-07</t>
  </si>
  <si>
    <t>7. QA &amp; Bug Fixing</t>
  </si>
  <si>
    <t>100% (Test Plans)</t>
  </si>
  <si>
    <t>0%</t>
  </si>
  <si>
    <t>Day 13.5</t>
  </si>
  <si>
    <t>Day 19.0</t>
  </si>
  <si>
    <t>MOD-08</t>
  </si>
  <si>
    <t>8. UAT &amp; Client Review</t>
  </si>
  <si>
    <t>100% (Review Scope)</t>
  </si>
  <si>
    <t>Day 14.0</t>
  </si>
  <si>
    <t>Day 20.0</t>
  </si>
  <si>
    <t>MOD-09</t>
  </si>
  <si>
    <t>9. Production Deployment</t>
  </si>
  <si>
    <t>100% (Infra Plan)</t>
  </si>
  <si>
    <t>Day 21.0</t>
  </si>
  <si>
    <t>ID</t>
  </si>
  <si>
    <t>Phase</t>
  </si>
  <si>
    <t>Module</t>
  </si>
  <si>
    <t>Task</t>
  </si>
  <si>
    <t>System</t>
  </si>
  <si>
    <t>Planned Start</t>
  </si>
  <si>
    <t>Duration (Est.)</t>
  </si>
  <si>
    <t>Priority</t>
  </si>
  <si>
    <t>Status</t>
  </si>
  <si>
    <t>% Complete</t>
  </si>
  <si>
    <t>Dependencies</t>
  </si>
  <si>
    <t>Blockers / Risks</t>
  </si>
  <si>
    <t>Client Approval</t>
  </si>
  <si>
    <t>Remarks</t>
  </si>
  <si>
    <t>TASK-001</t>
  </si>
  <si>
    <t>Week 1: Setup, Core APIs &amp; Dispatch</t>
  </si>
  <si>
    <t>Project Repository Setup, CI Pipeline &amp; Architecture Blueprint</t>
  </si>
  <si>
    <t>Cloud / DevOps</t>
  </si>
  <si>
    <t>P0 - Critical</t>
  </si>
  <si>
    <t>None</t>
  </si>
  <si>
    <t>Init Next.js 16/TypeScript repo, Docker PostgreSQL, Design Tokens, /api/health probe verified</t>
  </si>
  <si>
    <t>TASK-002</t>
  </si>
  <si>
    <t>Database Schema &amp; Multi-Tenant Migrations (PostgreSQL/Prisma)</t>
  </si>
  <si>
    <t>Backend / DB</t>
  </si>
  <si>
    <t>Prisma 6.4.1 schema with 11 models, relations, seed data &amp; dual-engine layer verified</t>
  </si>
  <si>
    <t>TASK-003</t>
  </si>
  <si>
    <t>Authentication &amp; Role-Based Access Control (RBAC Engine)</t>
  </si>
  <si>
    <t>Backend / Auth</t>
  </si>
  <si>
    <t>Phone OTP send/verify, JWT signed claims for 4 roles, login and /api/auth/me verified</t>
  </si>
  <si>
    <t>TASK-004</t>
  </si>
  <si>
    <t>Pincode Jurisdiction &amp; Territory Boundary Engine</t>
  </si>
  <si>
    <t>Backend / Service</t>
  </si>
  <si>
    <t>GET /api/pincodes, /api/pincodes/[pincode] (400001 Colaba), and check-serviceable verified</t>
  </si>
  <si>
    <t>TASK-005</t>
  </si>
  <si>
    <t>Technician Management &amp; Regulatory KYC Verification APIs</t>
  </si>
  <si>
    <t>P1 - High</t>
  </si>
  <si>
    <t>Roster, dossier, KYC doc uploads, 1-click verify/reject, and availability toggle verified</t>
  </si>
  <si>
    <t>TASK-006</t>
  </si>
  <si>
    <t>Service Catalog, Category Hierarchy &amp; Work-Order Taxonomy APIs</t>
  </si>
  <si>
    <t>Categories, catalog offerings, and 18% GST calculation (₹1,250 exact invoice) verified</t>
  </si>
  <si>
    <t>TASK-007</t>
  </si>
  <si>
    <t>Job Booking &amp; Algorithmic Dispatch Lifecycle State Machine</t>
  </si>
  <si>
    <t>Finite state machine (Booked-&gt;Assigned-&gt;EnRoute-&gt;Arrived-&gt;SafetyChecked-&gt;InProgress-&gt;Done), 1000V gloves/MCB safety interlock, and 4-digit handover OTP verified</t>
  </si>
  <si>
    <t>TASK-008</t>
  </si>
  <si>
    <t>Emergency SLA Escalation &amp; Proximity Reassignment Logic</t>
  </si>
  <si>
    <t>Haversine proximity engine, 30-min SLA breach detector, auto-reassignment to standby tech (J-1005 to Pradeep Jadhav 0.59km), and automated sweep verified</t>
  </si>
  <si>
    <t>TASK-009</t>
  </si>
  <si>
    <t>Commission Distribution, Split &amp; Escrow Payout Engine</t>
  </si>
  <si>
    <t>Backend / Finance</t>
  </si>
  <si>
    <t>Balanced double-entry ledgers (Customer Inflow, 18% GST Escrow, Platform 15%, Partner 15%, Tech 70% net payout, zero variance), wallets &amp; partner accounting verified</t>
  </si>
  <si>
    <t>TASK-010</t>
  </si>
  <si>
    <t>SMS &amp; OTP Gateway Integration (Auth &amp; Service Handover)</t>
  </si>
  <si>
    <t>Integrations / SMS</t>
  </si>
  <si>
    <t>TRAI DLT-compliant templates, phone normalizer, rate limiter, dispatch alerts &amp; handover OTP SMS verified</t>
  </si>
  <si>
    <t>TASK-011</t>
  </si>
  <si>
    <t>Cloud Object Storage (AWS S3 / GCS) Integration</t>
  </si>
  <si>
    <t>Integrations / Cloud</t>
  </si>
  <si>
    <t>AWS S3 presigned URLs, MIME whitelist security, partitioned storage for KYC, Before/After photos &amp; invoices verified</t>
  </si>
  <si>
    <t>TASK-012</t>
  </si>
  <si>
    <t>Payment Gateway Integration (Razorpay / Cashfree / UPI Webhooks)</t>
  </si>
  <si>
    <t>Integrations / Pay</t>
  </si>
  <si>
    <t>Razorpay order creation in paise, NPCI UPI Intent deep link, HMAC-SHA256 signature verification &amp; webhooks verified</t>
  </si>
  <si>
    <t>TASK-013</t>
  </si>
  <si>
    <t>Google Maps Geocoding &amp; Distance Matrix Integration</t>
  </si>
  <si>
    <t>Integrations / Maps</t>
  </si>
  <si>
    <t>Forward/reverse geocoding, transit duration matrix, road tortuosity &amp; perimeter radius boundary checks verified</t>
  </si>
  <si>
    <t>TASK-014</t>
  </si>
  <si>
    <t>Admin CRM Shell, Navigation &amp; Authentication Guard</t>
  </si>
  <si>
    <t>Web CRM / React</t>
  </si>
  <si>
    <t>Navigation shell, 22 Figma admin screens sidebar grouping, role auth guard, live IST topbar &amp; persona switcher verified</t>
  </si>
  <si>
    <t>TASK-015</t>
  </si>
  <si>
    <t>Admin National Overview &amp; Telemetry Dashboard</t>
  </si>
  <si>
    <t>Macro operational KPIs, active work order table, 3-way escrow visualization &amp; territory cluster status verified</t>
  </si>
  <si>
    <t>TASK-016</t>
  </si>
  <si>
    <t>Partner Franchise Management &amp; State Allocation Views</t>
  </si>
  <si>
    <t>Partner franchise directory (ADM-SCR-02), state allocations, pincode/tech quota governance &amp; partner dossier (ADM-SCR-03) verified</t>
  </si>
  <si>
    <t>TASK-017</t>
  </si>
  <si>
    <t>Pincode Coverage &amp; Territorial Perimeter Settings</t>
  </si>
  <si>
    <t>Territory coverage directory (ADM-SCR-04), density classification, exclusivity interlocks &amp; perimeter boundary settings (ADM-SCR-05) verified</t>
  </si>
  <si>
    <t>TASK-018</t>
  </si>
  <si>
    <t>Week 2: Complete Web CRM &amp; Mobile Apps</t>
  </si>
  <si>
    <t>National Technician Registry &amp; KYC Regulatory Verification</t>
  </si>
  <si>
    <t>National fleet registry (ADM-SCR-06), regulatory KYC inspection (ADM-SCR-07, 08), Aadhar/wireman verification &amp; 1000V gloves safety audit verified</t>
  </si>
  <si>
    <t>TASK-019</t>
  </si>
  <si>
    <t>Customer Management &amp; Lifetime Service Profile Views</t>
  </si>
  <si>
    <t>P2 - Medium</t>
  </si>
  <si>
    <t>Customer directory (ADM-SCR-09), booking timelines, dispute logs &amp; Amit Sharma lifetime profile dossier (ADM-SCR-10) verified</t>
  </si>
  <si>
    <t>TASK-020</t>
  </si>
  <si>
    <t>Central Finance, Commission Configuration &amp; Tax Invoicing</t>
  </si>
  <si>
    <t>Central finance telemetry (ADM-SCR-12), commission rate sliders with 100% interlock (ADM-SCR-13) &amp; 18% GST tax invoices register (ADM-SCR-14) verified</t>
  </si>
  <si>
    <t>TASK-021</t>
  </si>
  <si>
    <t>Subscription Modules (Zex Cyber Security &amp; Protection Plans)</t>
  </si>
  <si>
    <t>Subscription modules (ADM-SCR-16, ADM-SCR-17), Consumer 1-mo/1-yr &amp; Partner 3-mo tiers, policy registry &amp; ₹30.95L risk pool telemetry verified</t>
  </si>
  <si>
    <t>TASK-022</t>
  </si>
  <si>
    <t>Support Desk, Ticket Details &amp; WORM Audit Trail Logs</t>
  </si>
  <si>
    <t>Support desk queue (ADM-SCR-18), SLA escalation &amp; resolution dossier (ADM-SCR-19) &amp; WORM immutable SHA-256 audit trail (ADM-SCR-22) verified</t>
  </si>
  <si>
    <t>TASK-023</t>
  </si>
  <si>
    <t>Partner Regional Command Dashboard (Maharashtra Hub)</t>
  </si>
  <si>
    <t>Partner regional telemetry (PTNR-SCR-01), active jobs feed, standby fleet roster, 30-min SLA breach alert &amp; revenue share verified</t>
  </si>
  <si>
    <t>TASK-024</t>
  </si>
  <si>
    <t>Territory Job Management &amp; Dispatch Console</t>
  </si>
  <si>
    <t>Territory dispatch console (PTNR-SCR-02), live filters by status/pincode, job cards, technician allocation modal &amp; WORM audit log verified</t>
  </si>
  <si>
    <t>TASK-025</t>
  </si>
  <si>
    <t>Job Details &amp; Work-Order Lifecycle Execution (#J-1001)</t>
  </si>
  <si>
    <t>Work-order lifecycle execution (PTNR-SCR-03), 7-stage milestone stepper, safety checklist, ₹1,250 18% GST invoice &amp; 4-digit handover OTP verified</t>
  </si>
  <si>
    <t>TASK-026</t>
  </si>
  <si>
    <t>Critical SLA Escalations &amp; Emergency Tech Reassignment (#J-1005)</t>
  </si>
  <si>
    <t>SLA escalation monitor (PTNR-SCR-04), Haversine proximity-sorted candidate fleet, emergency reassignment modal (PTNR-SCR-05), +20m SLA extension &amp; WORM log verified</t>
  </si>
  <si>
    <t>TASK-027</t>
  </si>
  <si>
    <t>Regional Fleet Roster, Shift Scheduling &amp; Partner KYC Screening</t>
  </si>
  <si>
    <t>Regional fleet roster (PTNR-SCR-06), shift toggle, pincode assignment, Rajesh Kumar dossier (PTNR-SCR-07), &amp; 1000V gloves KYC screening modal (PTNR-SCR-08) verified</t>
  </si>
  <si>
    <t>TASK-028</t>
  </si>
  <si>
    <t>Pincode Capacity Heatmap &amp; Hyperlocal Cluster (400001 Colaba)</t>
  </si>
  <si>
    <t>Pincode capacity heatmap (PTNR-SCR-09), live load bars, Colaba 400001 cluster command (PTNR-SCR-10), SLA ETA &amp; radius tuning with WORM logs verified</t>
  </si>
  <si>
    <t>TASK-029</t>
  </si>
  <si>
    <t>GST Tax Invoicing, Invoice Preview (#INV-2026-001) &amp; Bank Ledger</t>
  </si>
  <si>
    <t>Print-ready GST invoice preview (#INV-2026-001, PTNR-SCR-12), tax billings directory (PTNR-SCR-11), 3-way commission distribution, and escrow ledger (PTNR-SCR-14) verified</t>
  </si>
  <si>
    <t>TASK-030</t>
  </si>
  <si>
    <t>Partner Operations Helpdesk &amp; Entity Banking Profile</t>
  </si>
  <si>
    <t>Partner operations helpdesk (PTNR-SCR-15), ticket resolution dossier (#SUP-1024, PTNR-SCR-16), entity profile &amp; IFSC banking settlement settings (PTNR-SCR-17) verified</t>
  </si>
  <si>
    <t>TASK-031</t>
  </si>
  <si>
    <t>Customer App Shell, Onboarding &amp; Phone OTP Authentication</t>
  </si>
  <si>
    <t>Mobile / React Native</t>
  </si>
  <si>
    <t>Customer app shell, responsive mobile frame simulator, live status bar, phone OTP auth (+91 98765 43213 Amit Sharma), 6-digit code &amp; location permissions verified</t>
  </si>
  <si>
    <t>TASK-032</t>
  </si>
  <si>
    <t>Customer Home Dashboard, Category Browser &amp; 24/7 SOS Emergency Chip</t>
  </si>
  <si>
    <t>Customer home dashboard (CUST-SCR-01), Colaba 400001 location selector, categories, active booking banner (#J-1001), 24/7 SOS emergency modal &amp; 15-min dispatch trigger verified</t>
  </si>
  <si>
    <t>TASK-033</t>
  </si>
  <si>
    <t>Service Booking Flow, Pincode Address &amp; Payment Gateway</t>
  </si>
  <si>
    <t>Slot selection, instructions, MCB safety interlock, 18% GST statutory calculation, UPI/Card payment modal &amp; job creation verified</t>
  </si>
  <si>
    <t>TASK-034</t>
  </si>
  <si>
    <t>Live Technician Tracking &amp; Real-Time Status Updates</t>
  </si>
  <si>
    <t>CUST-SCR-02 live GPS route (Marine Drive to Colaba), 10-min ETA badge, animated tech marker, Rajesh Kumar dossier &amp; 4-digit handover OTP seal verified</t>
  </si>
  <si>
    <t>TASK-035</t>
  </si>
  <si>
    <t>Week 3: Buffer / Realistic Target</t>
  </si>
  <si>
    <t>Invoice Receipt View, Rating &amp; Service Completion Verification</t>
  </si>
  <si>
    <t>Official tax invoice #INV-2026-001, 18% GST breakdown, 4-digit handover OTP 4829 seal, Before/After photos &amp; 5-star rating verified</t>
  </si>
  <si>
    <t>TASK-036</t>
  </si>
  <si>
    <t>Technician App Shell, Online/Offline Toggle &amp; Pincode Roster</t>
  </si>
  <si>
    <t>Technician shell, live online/offline duty toggle API, Colaba/Fort/Bandra pincodes roster, urgent priority card #J-1005 &amp; toolkit verified</t>
  </si>
  <si>
    <t>TASK-037</t>
  </si>
  <si>
    <t>New Job Push Notification &amp; Accept / Reject Dispatch Modal</t>
  </si>
  <si>
    <t>Push notification alert banner, 60-second acceptance timer, job fee breakdown, decline reason drawer &amp; API verified</t>
  </si>
  <si>
    <t>TASK-038</t>
  </si>
  <si>
    <t>Active Job Details, Turn-by-Turn Navigation &amp; Call Customer</t>
  </si>
  <si>
    <t>Live GPS navigation route (2.4 km), turn-by-turn banner, masked customer phone dialer, chat drawer, 250m geofence arrival verified</t>
  </si>
  <si>
    <t>TASK-039</t>
  </si>
  <si>
    <t>Mandatory Safety Verification Checklist &amp; Before Photo Capture</t>
  </si>
  <si>
    <t>TECH-SCR-03 verified: 4-digit Start OTP, 4 mandatory industrial protocols, tamper-proof geo watermark &amp; start interlock</t>
  </si>
  <si>
    <t>TASK-040</t>
  </si>
  <si>
    <t>Work Completion Proof, Handover OTP Verification &amp; Rating</t>
  </si>
  <si>
    <t>TECH-SCR-04 verified: Live work stopwatch, 4 execution milestones, AI Vision ribbon, 4829 Handover OTP, +₹1,000 net payout &amp; GST invoice</t>
  </si>
  <si>
    <t>TASK-041</t>
  </si>
  <si>
    <t>Technician Earnings Ledger, Daily Payouts &amp; Security Badge</t>
  </si>
  <si>
    <t>TECH-SCR-05 verified: Today/Week/Month tabs, ₹32,500 gross, ₹8,450 wallet, instant IMPS payout modal &amp; 100% safety tier</t>
  </si>
  <si>
    <t>TASK-042</t>
  </si>
  <si>
    <t>Partner Mobile Operations Views (Fleet, Escalations &amp; Payouts)</t>
  </si>
  <si>
    <t>PTNR-APP-01 ~ 04 verified: MH Operations command hub, #J-1005 SLA escalation reassign, fleet KYC review &amp; ₹63,000 instant payout</t>
  </si>
  <si>
    <t>TASK-043</t>
  </si>
  <si>
    <t>End-to-End Cross-Role Workflow Integration Simulation</t>
  </si>
  <si>
    <t>All Systems / QA</t>
  </si>
  <si>
    <t>100% automated integration pass: Customer booking -&gt; 400001 Pincode -&gt; Tech accept -&gt; GPS transit -&gt; 1000V Safety check -&gt; OTP verify -&gt; 18% GST Invoice -&gt; 3-way split (70/15/15)</t>
  </si>
  <si>
    <t>TASK-044</t>
  </si>
  <si>
    <t>Edge Cases, Security Audit, Offline Sync &amp; Defect Remediation</t>
  </si>
  <si>
    <t>Zero P0/P1 defects; SQLi, XSS, Path traversal neutralized; 30+ SHA-256 blocks verified unbroken in WORM ledger (IT Act 65B &amp; RBI compliance)</t>
  </si>
  <si>
    <t>TASK-045</t>
  </si>
  <si>
    <t>Client UAT Walkthrough, Stakeholder Demo &amp; Sign-off Gate</t>
  </si>
  <si>
    <t>UAT / Staging</t>
  </si>
  <si>
    <t>Approved</t>
  </si>
  <si>
    <t>Client UAT walkthrough completed across all 53 screens &amp; 4 multi-tenant roles; digital SHA-256 seal verified and sealed in WORM ledger (Gateway 2 Sign-off Approved)</t>
  </si>
  <si>
    <t>⚡ SEQUENTIAL DEVELOPMENT SCHEDULE (1 SOLO DEVELOPER • 21-DAY GANTT TIMELINE)</t>
  </si>
  <si>
    <t>WEEK 1: ARCHITECTURE, CORE SERVICES &amp; WEB CRM KICKOFF (DAYS 1–7)</t>
  </si>
  <si>
    <t>WEEK 2: WEB CRM COMPLETION &amp; MOBILE APPS [MIN TARGET WINDOW] (DAYS 8–14)</t>
  </si>
  <si>
    <t>WEEK 3: BUFFER / REALISTIC TARGET — QA, HARDENING, UAT &amp; PROD (DAYS 15–21)</t>
  </si>
  <si>
    <t>Task ID</t>
  </si>
  <si>
    <t>Task Name</t>
  </si>
  <si>
    <t>Developer</t>
  </si>
  <si>
    <t>Duration</t>
  </si>
  <si>
    <t>D1</t>
  </si>
  <si>
    <t>D2</t>
  </si>
  <si>
    <t>D3</t>
  </si>
  <si>
    <t>D4</t>
  </si>
  <si>
    <t>D5</t>
  </si>
  <si>
    <t>D6</t>
  </si>
  <si>
    <t>D7</t>
  </si>
  <si>
    <t>D8</t>
  </si>
  <si>
    <t>D9</t>
  </si>
  <si>
    <t>D10</t>
  </si>
  <si>
    <t>D11</t>
  </si>
  <si>
    <t>D12</t>
  </si>
  <si>
    <t>D13</t>
  </si>
  <si>
    <t>D14</t>
  </si>
  <si>
    <t>D15</t>
  </si>
  <si>
    <t>D16</t>
  </si>
  <si>
    <t>D17</t>
  </si>
  <si>
    <t>D18</t>
  </si>
  <si>
    <t>D19</t>
  </si>
  <si>
    <t>D20</t>
  </si>
  <si>
    <t>D21</t>
  </si>
  <si>
    <t>Solo Dev (100%)</t>
  </si>
  <si>
    <t>0.5d</t>
  </si>
  <si>
    <t>████</t>
  </si>
  <si>
    <t/>
  </si>
  <si>
    <t>0.25d</t>
  </si>
  <si>
    <t>Major Module Name</t>
  </si>
  <si>
    <t>UI Screens / Scope</t>
  </si>
  <si>
    <t>Designed (Audit)</t>
  </si>
  <si>
    <t>Overall %</t>
  </si>
  <si>
    <t>Module Health Status</t>
  </si>
  <si>
    <t>Delivery Scope &amp; Audit Notes</t>
  </si>
  <si>
    <t>3 Screens (Home, Tracking, Invoice)</t>
  </si>
  <si>
    <t>Completed (100%)</t>
  </si>
  <si>
    <t>100.0%</t>
  </si>
  <si>
    <t>Complete (CUST-SCR-01, 02, 03 Verified)</t>
  </si>
  <si>
    <t>All 3 Customer screens (Home Dashboard, Live Tracking &amp; Invoice Receipt #INV-2026-001) 100% implemented &amp; verified.</t>
  </si>
  <si>
    <t>5 Screens (Queue, Details, Safety, OTP, Earnings)</t>
  </si>
  <si>
    <t>Complete (TECH-SCR-01 ~ 05 Verified)</t>
  </si>
  <si>
    <t>All 5 Technician screens (TECH-SCR-01 Queue, TECH-SCR-02 Navigation, TECH-SCR-03 Safety, TECH-SCR-04 Completion, TECH-SCR-05 Earnings) 100% implemented &amp; verified.</t>
  </si>
  <si>
    <t>19 Screens (Territory Command, Jobs, Heatmap, Ledger)</t>
  </si>
  <si>
    <t>Designed / Ready for Dev</t>
  </si>
  <si>
    <t>Regional operations command, live job dispatch table, Colaba 400001 capacity heatmap, emergency tech reassignment (#J-1005), GST billing preview.</t>
  </si>
  <si>
    <t>22 Screens (National Telemetry, Roster, Escrow, Logs)</t>
  </si>
  <si>
    <t>Super Admin platform governance, multi-state partner licensing quotas, regulatory KYC review, dynamic commission engine, WORM audit trail.</t>
  </si>
  <si>
    <t>System Architecture (Flow Diagram &amp; Schemas)</t>
  </si>
  <si>
    <t>Architecture Ready</t>
  </si>
  <si>
    <t>PostgreSQL multi-tenant schema, JWT/RBAC auth, pincode allocation algorithm, job state machine, escrow splits, WORM tamper-evident logs.</t>
  </si>
  <si>
    <t>API Integration Specifications</t>
  </si>
  <si>
    <t>API Contracts Ready</t>
  </si>
  <si>
    <t>SMS/OTP gateway (Fast2SMS/Msg91), Payment gateway (Razorpay/Cashfree), AWS S3 photo bucket, Google Maps Geocoding API.</t>
  </si>
  <si>
    <t>Comprehensive Test Matrix &amp; Edge Cases</t>
  </si>
  <si>
    <t>Scheduled (Week 3 Buffer)</t>
  </si>
  <si>
    <t>Full end-to-end dispatch cycle simulation, SLA countdown breach testing, network failure resilience, mobile offline safety checklists.</t>
  </si>
  <si>
    <t>Executive Presentation &amp; Sign-off Gate</t>
  </si>
  <si>
    <t>Formal client walkthrough across all 41 Web CRM screens and 12 Mobile App screens for final feature sign-off and approval.</t>
  </si>
  <si>
    <t>Cloud Infrastructure &amp; DevOps Plan</t>
  </si>
  <si>
    <t>Cloud server provisioning (DigitalOcean/AWS), PostgreSQL managed DB, SSL certificates, custom domains, APK/IPA build generation.</t>
  </si>
  <si>
    <t>Screen ID</t>
  </si>
  <si>
    <t>Interface Title &amp; Screen Name</t>
  </si>
  <si>
    <t>Operational Domain &amp; Screen Scope</t>
  </si>
  <si>
    <t>Folder / Figma Source Directory</t>
  </si>
  <si>
    <t>Design Status</t>
  </si>
  <si>
    <t>HTML Mockup Ready?</t>
  </si>
  <si>
    <t>Client Design Sign-Off</t>
  </si>
  <si>
    <t>Review Notes</t>
  </si>
  <si>
    <t>CUST-SCR-01</t>
  </si>
  <si>
    <t>Customer Home Dashboard (Colaba 400001)</t>
  </si>
  <si>
    <t>Customer Onboarding &amp; Rapid Booking</t>
  </si>
  <si>
    <t>customer_app_home_dashboard</t>
  </si>
  <si>
    <t>Yes (Available in Assets)</t>
  </si>
  <si>
    <t>Pending Review</t>
  </si>
  <si>
    <t>Location picker, 24/7 SOS help chip, search bar, active technician dispatch card</t>
  </si>
  <si>
    <t>CUST-SCR-02</t>
  </si>
  <si>
    <t>Live Technician GPS Tracking &amp; Arrival Map</t>
  </si>
  <si>
    <t>Real-Time Telemetry &amp; Dispatch</t>
  </si>
  <si>
    <t>customer_app_live_tracking</t>
  </si>
  <si>
    <t>Real-time GPS map, 12-min ETA badge, technician avatar, direct call button</t>
  </si>
  <si>
    <t>CUST-SCR-03</t>
  </si>
  <si>
    <t>Tax Invoice Receipt &amp; 4-Digit Handover OTP</t>
  </si>
  <si>
    <t>Billing &amp; Service Verification</t>
  </si>
  <si>
    <t>customer_app_invoice_receipt</t>
  </si>
  <si>
    <t>Tax breakdown (₹1,250), 4-digit handover OTP verification, technician star rating</t>
  </si>
  <si>
    <t>TECH-SCR-01</t>
  </si>
  <si>
    <t>Technician Dashboard &amp; Active Jobs Queue</t>
  </si>
  <si>
    <t>Field Dispatch &amp; Task Acceptance</t>
  </si>
  <si>
    <t>technician_app_dashboard_active_queue</t>
  </si>
  <si>
    <t>Online/Offline toggle, daily earnings summary, accept/reject dispatch modal with timer</t>
  </si>
  <si>
    <t>TECH-SCR-02</t>
  </si>
  <si>
    <t>Job Details &amp; Turn-by-Turn GPS Navigation</t>
  </si>
  <si>
    <t>Navigation &amp; Customer Site Arrival</t>
  </si>
  <si>
    <t>technician_app_job_details_navigation</t>
  </si>
  <si>
    <t>Customer contact, Google Maps intent, start job CTA, address verification</t>
  </si>
  <si>
    <t>TECH-SCR-03</t>
  </si>
  <si>
    <t>Mandatory Electrical Safety Checklist</t>
  </si>
  <si>
    <t>Hazard Protocol &amp; Regulatory Compliance</t>
  </si>
  <si>
    <t>technician_app_safety_verification_checklist</t>
  </si>
  <si>
    <t>1000V gloves check, main MCB off switch verification, Before Photo capture</t>
  </si>
  <si>
    <t>TECH-SCR-04</t>
  </si>
  <si>
    <t>Work Completion Proof &amp; Handover OTP</t>
  </si>
  <si>
    <t>Proof of Work &amp; Final Handover</t>
  </si>
  <si>
    <t>technician_app_work_progress_completion_otp</t>
  </si>
  <si>
    <t>After Photo camera upload, 4-digit customer handover OTP input box, finish job</t>
  </si>
  <si>
    <t>TECH-SCR-05</t>
  </si>
  <si>
    <t>Technician Earnings Ledger &amp; Payout Batches</t>
  </si>
  <si>
    <t>Financial Disbursements &amp; Wallet</t>
  </si>
  <si>
    <t>technician_app_earnings_payouts</t>
  </si>
  <si>
    <t>Today/Week/Month earnings breakdown, commission history, instant withdrawal request</t>
  </si>
  <si>
    <t>PTNR-APP-01</t>
  </si>
  <si>
    <t>3. Partner Web/App (Mobile Companion)</t>
  </si>
  <si>
    <t>Partner Operations Mobile Command Hub</t>
  </si>
  <si>
    <t>Field Oversight &amp; Fleet Roster</t>
  </si>
  <si>
    <t>partner_app_operations_dashboard</t>
  </si>
  <si>
    <t>State overview (Maharashtra), active jobs feed, online technicians roster</t>
  </si>
  <si>
    <t>PTNR-APP-02</t>
  </si>
  <si>
    <t>Urgent SLA Escalation &amp; Tech Reassignment</t>
  </si>
  <si>
    <t>Emergency Proximity Dispatch</t>
  </si>
  <si>
    <t>partner_app_escalations_reassign_tech</t>
  </si>
  <si>
    <t>Urgent proximity reassignment for delayed job #J-1005, technician distance sort</t>
  </si>
  <si>
    <t>PTNR-APP-03</t>
  </si>
  <si>
    <t>Regional Fleet Registry &amp; KYC Review</t>
  </si>
  <si>
    <t>Technician Document Inspection</t>
  </si>
  <si>
    <t>partner_app_technician_fleet_kyc</t>
  </si>
  <si>
    <t>Mobile document viewer (Aadhar, PAN, License), approve/reject toggle</t>
  </si>
  <si>
    <t>PTNR-APP-04</t>
  </si>
  <si>
    <t>Regional Finance &amp; Payout Settlements</t>
  </si>
  <si>
    <t>Franchise Financial Ledger</t>
  </si>
  <si>
    <t>partner_app_regional_finance_payouts</t>
  </si>
  <si>
    <t>Partner commission share, technician payout batches, weekly bank settlement</t>
  </si>
  <si>
    <t>ADM-SCR-01</t>
  </si>
  <si>
    <t>Platform Overview &amp; National Telemetry Dashboard</t>
  </si>
  <si>
    <t>National Platform Governance</t>
  </si>
  <si>
    <t>admin_web_crm_platform_dashboard</t>
  </si>
  <si>
    <t>Cross-state telemetry, macro KPIs, live active technicians, revenue metrics</t>
  </si>
  <si>
    <t>ADM-SCR-02</t>
  </si>
  <si>
    <t>Manage Regional Franchise Partners</t>
  </si>
  <si>
    <t>Franchise Allocation &amp; Licensing</t>
  </si>
  <si>
    <t>admin_web_crm_manage_partners</t>
  </si>
  <si>
    <t>National franchise roster, regional operating licenses, active capacity quotas</t>
  </si>
  <si>
    <t>ADM-SCR-03</t>
  </si>
  <si>
    <t>Partner Dossier — Maharashtra Operations Hub</t>
  </si>
  <si>
    <t>Franchise Governance Audit</t>
  </si>
  <si>
    <t>admin_web_crm_partner_details_maharashtra_team</t>
  </si>
  <si>
    <t>Tier-1 Western Grid audit, performance history, territory coverage metrics</t>
  </si>
  <si>
    <t>ADM-SCR-04</t>
  </si>
  <si>
    <t>State Territorial Allocation &amp; Licensing</t>
  </si>
  <si>
    <t>Territory Management &amp; Quotas</t>
  </si>
  <si>
    <t>admin_web_crm_state_allocation_management</t>
  </si>
  <si>
    <t>State operational boundaries, capacity limits, exclusive franchise licensing</t>
  </si>
  <si>
    <t>ADM-SCR-05</t>
  </si>
  <si>
    <t>Pincode Coverage &amp; Jurisdiction Mapping</t>
  </si>
  <si>
    <t>Jurisdiction &amp; Perimeters</t>
  </si>
  <si>
    <t>admin_web_crm_pincode_coverage_settings</t>
  </si>
  <si>
    <t>Postal boundary mapping, exclusive partner pincodes, multi-state routing</t>
  </si>
  <si>
    <t>ADM-SCR-06</t>
  </si>
  <si>
    <t>Manage Electrical Technicians Registry</t>
  </si>
  <si>
    <t>Field Personnel Roster</t>
  </si>
  <si>
    <t>admin_web_crm_manage_technicians</t>
  </si>
  <si>
    <t>Centralized registry of technicians across all state partners, status filters</t>
  </si>
  <si>
    <t>ADM-SCR-07</t>
  </si>
  <si>
    <t>Technician Governance Profile — Rajesh Kumar</t>
  </si>
  <si>
    <t>Field Personnel Audit</t>
  </si>
  <si>
    <t>admin_web_crm_technician_profile_rajesh_kumar</t>
  </si>
  <si>
    <t>Master credentialing, 6-week completion rate, punctual score, rating history</t>
  </si>
  <si>
    <t>ADM-SCR-08</t>
  </si>
  <si>
    <t>Technician Regulatory KYC Review &amp; Verification</t>
  </si>
  <si>
    <t>Regulatory Compliance &amp; Verification</t>
  </si>
  <si>
    <t>admin_web_crm_technician_kyc_review</t>
  </si>
  <si>
    <t>Platform-wide document inspection, electrical license audit, approve/reject</t>
  </si>
  <si>
    <t>ADM-SCR-09</t>
  </si>
  <si>
    <t>Manage Customers &amp; Consumer Directory</t>
  </si>
  <si>
    <t>Customer Relationship Management</t>
  </si>
  <si>
    <t>admin_web_crm_manage_customers</t>
  </si>
  <si>
    <t>Consumer directory, booking frequencies, recurring subscription status</t>
  </si>
  <si>
    <t>ADM-SCR-10</t>
  </si>
  <si>
    <t>Customer Profile — Amit Sharma</t>
  </si>
  <si>
    <t>Customer Dossier &amp; Lifetime Value</t>
  </si>
  <si>
    <t>admin_web_crm_customer_profile_amit_sharma</t>
  </si>
  <si>
    <t>Lifetime service spend, address history, active subscriptions, dispute history</t>
  </si>
  <si>
    <t>ADM-SCR-11</t>
  </si>
  <si>
    <t>Customer Payments &amp; Gateway Invoices</t>
  </si>
  <si>
    <t>Billing &amp; Gateway Transactions</t>
  </si>
  <si>
    <t>admin_web_crm_customer_invoices_payments</t>
  </si>
  <si>
    <t>Settlement tracking of customer dispatches, gateway payment transaction logs</t>
  </si>
  <si>
    <t>ADM-SCR-12</t>
  </si>
  <si>
    <t>Platform Finance &amp; Commission Settlement Overview</t>
  </si>
  <si>
    <t>Financial Settlements &amp; Revenue</t>
  </si>
  <si>
    <t>admin_web_crm_finance_commission_overview</t>
  </si>
  <si>
    <t>Gross platform volume, automated partner commission accruals, escrow balances</t>
  </si>
  <si>
    <t>ADM-SCR-13</t>
  </si>
  <si>
    <t>Commission &amp; Revenue Share Rules Configuration</t>
  </si>
  <si>
    <t>Revenue Configuration Engine</t>
  </si>
  <si>
    <t>admin_web_crm_commission_configuration</t>
  </si>
  <si>
    <t>Configure platform revenue distribution rules, regional franchise overrides</t>
  </si>
  <si>
    <t>ADM-SCR-14</t>
  </si>
  <si>
    <t>Service Catalog &amp; Work-Order Taxonomy</t>
  </si>
  <si>
    <t>Service Catalog Management</t>
  </si>
  <si>
    <t>admin_web_crm_service_catalog</t>
  </si>
  <si>
    <t>Standard repair/install procedures, baseline pricing, skill requirements</t>
  </si>
  <si>
    <t>ADM-SCR-15</t>
  </si>
  <si>
    <t>Service Category Hierarchy Management</t>
  </si>
  <si>
    <t>Taxonomy Governance</t>
  </si>
  <si>
    <t>admin_web_crm_service_category_management</t>
  </si>
  <si>
    <t>Manage electrical classifications, tier hierarchies, safety protocols</t>
  </si>
  <si>
    <t>ADM-SCR-16</t>
  </si>
  <si>
    <t>Subscription Modules &amp; Recurring Tier Management</t>
  </si>
  <si>
    <t>Subscription Engine</t>
  </si>
  <si>
    <t>admin_web_crm_subscription_modules</t>
  </si>
  <si>
    <t>Protection plans oversight across Consumers (1-Mo) and Partners (3-Mo Free)</t>
  </si>
  <si>
    <t>ADM-SCR-17</t>
  </si>
  <si>
    <t>Subscription Dossier — Zex Shield Protection Plan</t>
  </si>
  <si>
    <t>Subscription Lifecycle</t>
  </si>
  <si>
    <t>admin_web_crm_subscription_details</t>
  </si>
  <si>
    <t>Detailed view of plan inclusions, subscriber counts, renewal revenues</t>
  </si>
  <si>
    <t>ADM-SCR-18</t>
  </si>
  <si>
    <t>Central Support Desk &amp; Omnichannel Ticket Governance</t>
  </si>
  <si>
    <t>Support Operations Hub</t>
  </si>
  <si>
    <t>admin_web_crm_support_desk</t>
  </si>
  <si>
    <t>Omnichannel support ticketing across Customers, Technicians, and Partners</t>
  </si>
  <si>
    <t>ADM-SCR-19</t>
  </si>
  <si>
    <t>Support Ticket #SUP-1024 — Delay Escalation</t>
  </si>
  <si>
    <t>Escalation Resolution Workspace</t>
  </si>
  <si>
    <t>admin_web_crm_support_ticket_details_sup_1024</t>
  </si>
  <si>
    <t>Cross-party communication timeline, priority reassignment, SLA override</t>
  </si>
  <si>
    <t>ADM-SCR-20</t>
  </si>
  <si>
    <t>Platform System Settings &amp; Global Controls</t>
  </si>
  <si>
    <t>System Configuration</t>
  </si>
  <si>
    <t>admin_web_crm_system_settings</t>
  </si>
  <si>
    <t>Global platform rules, API keys, SMS templates, server backups</t>
  </si>
  <si>
    <t>ADM-SCR-21</t>
  </si>
  <si>
    <t>Super Admin Account &amp; Security Governance</t>
  </si>
  <si>
    <t>Security &amp; Access Governance</t>
  </si>
  <si>
    <t>admin_web_crm_profile_settings</t>
  </si>
  <si>
    <t>Hardware-enforced 2FA, session keys, role-gated permission matrices</t>
  </si>
  <si>
    <t>ADM-SCR-22</t>
  </si>
  <si>
    <t>Platform Administrative Audit Logs &amp; Immutable Trail</t>
  </si>
  <si>
    <t>Compliance &amp; Auditing (WORM)</t>
  </si>
  <si>
    <t>admin_web_crm_audit_logs</t>
  </si>
  <si>
    <t>WORM-compliant tamper-evident event trail of all admin interventions</t>
  </si>
  <si>
    <t>PTNR-SCR-01</t>
  </si>
  <si>
    <t>Regional Partner Operational Command Dashboard</t>
  </si>
  <si>
    <t>Regional Operations Hub</t>
  </si>
  <si>
    <t>partner_web_crm_dashboard_maharashtra_team</t>
  </si>
  <si>
    <t>Live dispatch telemetry, pending order queues, active capacity in Maharashtra</t>
  </si>
  <si>
    <t>PTNR-SCR-02</t>
  </si>
  <si>
    <t>Job Operations &amp; Dispatch</t>
  </si>
  <si>
    <t>partner_web_crm_job_management</t>
  </si>
  <si>
    <t>Customer service request roster, technician assignment, status filters</t>
  </si>
  <si>
    <t>PTNR-SCR-03</t>
  </si>
  <si>
    <t>Job Details &amp; Work-Order Lifecycle — #J-1001</t>
  </si>
  <si>
    <t>Work Order Execution</t>
  </si>
  <si>
    <t>partner_web_crm_job_details_j_1001</t>
  </si>
  <si>
    <t>Telemetry, customer site, technician dispatch status, materials billing</t>
  </si>
  <si>
    <t>PTNR-SCR-04</t>
  </si>
  <si>
    <t>Escalated Jobs &amp; SLA Breach Management</t>
  </si>
  <si>
    <t>Critical SLA Resolution</t>
  </si>
  <si>
    <t>partner_web_crm_escalated_jobs</t>
  </si>
  <si>
    <t>Field dispatches with SLA countdown breaches, unassigned alerts</t>
  </si>
  <si>
    <t>PTNR-SCR-05</t>
  </si>
  <si>
    <t>Emergency Technician Reassignment — Job #J-1005</t>
  </si>
  <si>
    <t>Emergency Dispatch Console</t>
  </si>
  <si>
    <t>partner_web_crm_technician_reassignment_j_1005</t>
  </si>
  <si>
    <t>Urgent proximity reassignment modal filtering certified nearest technicians</t>
  </si>
  <si>
    <t>PTNR-SCR-06</t>
  </si>
  <si>
    <t>Manage Regional Fleet &amp; Technician Roster</t>
  </si>
  <si>
    <t>Fleet Administration</t>
  </si>
  <si>
    <t>partner_web_crm_manage_technicians</t>
  </si>
  <si>
    <t>Live roster status, capacity, daily assignments, verification credentials</t>
  </si>
  <si>
    <t>PTNR-SCR-07</t>
  </si>
  <si>
    <t>Partner Portal: Technician Dossier — Rajesh Kumar</t>
  </si>
  <si>
    <t>Fleet Personnel Profile</t>
  </si>
  <si>
    <t>partner_web_crm_technician_profile_rajesh_kumar</t>
  </si>
  <si>
    <t>Regional supervisor view of technician performance and shift schedules</t>
  </si>
  <si>
    <t>PTNR-SCR-08</t>
  </si>
  <si>
    <t>Partner Technician Onboarding &amp; KYC Screening</t>
  </si>
  <si>
    <t>Personnel Onboarding</t>
  </si>
  <si>
    <t>partner_web_crm_technician_kyc_review</t>
  </si>
  <si>
    <t>Screen regional applicant certifications, government ID, electrical license</t>
  </si>
  <si>
    <t>PTNR-SCR-09</t>
  </si>
  <si>
    <t>Pincode Coverage Density &amp; Fleet Capacity Heatmap</t>
  </si>
  <si>
    <t>Territory Coverage Analysis</t>
  </si>
  <si>
    <t>partner_web_crm_pincode_coverage_capacity</t>
  </si>
  <si>
    <t>Monitor zone densities, active dispatch capacities, 30-min SLA perimeters</t>
  </si>
  <si>
    <t>PTNR-SCR-10</t>
  </si>
  <si>
    <t>Pincode Deep-Dive: 400001 (Colaba, Mumbai Hub)</t>
  </si>
  <si>
    <t>Hyperlocal Operations Hub</t>
  </si>
  <si>
    <t>partner_web_crm_pincode_details_400001_colaba</t>
  </si>
  <si>
    <t>Personnel registered for 30-min rapid deployment in Colaba 400001</t>
  </si>
  <si>
    <t>PTNR-SCR-11</t>
  </si>
  <si>
    <t>Tax Invoices &amp; Completed Dispatch Billings</t>
  </si>
  <si>
    <t>Invoicing &amp; Tax Compliance</t>
  </si>
  <si>
    <t>partner_web_crm_invoices</t>
  </si>
  <si>
    <t>Filter, review, and export GST tax invoices for completed service dispatches</t>
  </si>
  <si>
    <t>PTNR-SCR-12</t>
  </si>
  <si>
    <t>Official Tax Invoice Preview — #INV-2026-001</t>
  </si>
  <si>
    <t>Invoice Document Generation</t>
  </si>
  <si>
    <t>partner_web_crm_invoice_preview_inv_2026_001</t>
  </si>
  <si>
    <t>Print-ready GST tax invoice with CGST/SGST breakdowns and HSN codes</t>
  </si>
  <si>
    <t>PTNR-SCR-13</t>
  </si>
  <si>
    <t>Partner Revenue Shares &amp; Regional Payouts</t>
  </si>
  <si>
    <t>Payout Management</t>
  </si>
  <si>
    <t>partner_web_crm_finance_payouts</t>
  </si>
  <si>
    <t>Track franchise commission splits, technician disbursement settlements</t>
  </si>
  <si>
    <t>PTNR-SCR-14</t>
  </si>
  <si>
    <t>Financial Transactions &amp; Escrow Settlement Ledger</t>
  </si>
  <si>
    <t>Financial Ledger &amp; Escrow</t>
  </si>
  <si>
    <t>partner_web_crm_transactions_ledger</t>
  </si>
  <si>
    <t>Immutable financial audit trail of all job billings and bank releases</t>
  </si>
  <si>
    <t>PTNR-SCR-15</t>
  </si>
  <si>
    <t>Partner Support Center &amp; Operations Helpdesk</t>
  </si>
  <si>
    <t>Partner Support Workspace</t>
  </si>
  <si>
    <t>partner_web_crm_support_center</t>
  </si>
  <si>
    <t>Submit escalation tickets to platform headquarters and track tickets</t>
  </si>
  <si>
    <t>PTNR-SCR-16</t>
  </si>
  <si>
    <t>Partner Ticket #SUP-1024: High-Voltage Assignment</t>
  </si>
  <si>
    <t>Support Case View</t>
  </si>
  <si>
    <t>partner_web_crm_support_ticket_details_sup_1024</t>
  </si>
  <si>
    <t>Direct communication thread regarding high-voltage transformer escalation</t>
  </si>
  <si>
    <t>PTNR-SCR-17</t>
  </si>
  <si>
    <t>Partner Entity Profile &amp; Operating Settings</t>
  </si>
  <si>
    <t>Partner Configuration</t>
  </si>
  <si>
    <t>partner_web_crm_profile_settings</t>
  </si>
  <si>
    <t>Licensed entity corporate profile, banking settlement IFSC details</t>
  </si>
  <si>
    <t>PTNR-SCR-18</t>
  </si>
  <si>
    <t>Partner Web CRM — Master Design System Board 1</t>
  </si>
  <si>
    <t>Design System &amp; UI Componentry</t>
  </si>
  <si>
    <t>partner_web_crm_final_design_system_board_1</t>
  </si>
  <si>
    <t>Component library, color tokens, typography scales, buttons, badges</t>
  </si>
  <si>
    <t>PTNR-SCR-19</t>
  </si>
  <si>
    <t>Admin Web CRM — Master Design System Board 2</t>
  </si>
  <si>
    <t>partner_web_crm_final_design_system_board_2</t>
  </si>
  <si>
    <t>Master component library, telemetry cards, data grids, modal dialogs</t>
  </si>
  <si>
    <t>Issue ID</t>
  </si>
  <si>
    <t>Date Logged</t>
  </si>
  <si>
    <t>Screen / Component</t>
  </si>
  <si>
    <t>Issue Description &amp; Reproduction Steps</t>
  </si>
  <si>
    <t>Severity</t>
  </si>
  <si>
    <t>Reported By</t>
  </si>
  <si>
    <t>Assigned To</t>
  </si>
  <si>
    <t>Root Cause / Resolution Notes</t>
  </si>
  <si>
    <t>Verification Date</t>
  </si>
  <si>
    <t>CR ID</t>
  </si>
  <si>
    <t>Requestor</t>
  </si>
  <si>
    <t>Module / Screen</t>
  </si>
  <si>
    <t>Feedback / Change Request Summary</t>
  </si>
  <si>
    <t>Business Value &amp; Justification</t>
  </si>
  <si>
    <t>Impact Analysis (Scope / Architecture)</t>
  </si>
  <si>
    <t>Effort Est.</t>
  </si>
  <si>
    <t>Approval Status</t>
  </si>
  <si>
    <t>Target Phase / Sprint</t>
  </si>
  <si>
    <t>Sign-Off Signee</t>
  </si>
  <si>
    <t>Client Meeting Remarks</t>
  </si>
  <si>
    <t>Milestone ID</t>
  </si>
  <si>
    <t>Milestone Title</t>
  </si>
  <si>
    <t>Key Deliverables</t>
  </si>
  <si>
    <t>Completion &amp; Acceptance Criteria</t>
  </si>
  <si>
    <t>Planned Sign-Off</t>
  </si>
  <si>
    <t>Sign-Off Authority</t>
  </si>
  <si>
    <t>MS-01</t>
  </si>
  <si>
    <t>Architecture, DB Schema &amp; Multi-Tenant Auth Engine</t>
  </si>
  <si>
    <t>Day 2.5</t>
  </si>
  <si>
    <t>Day 3.5</t>
  </si>
  <si>
    <t>Week 1</t>
  </si>
  <si>
    <t>PostgreSQL multi-tenant schema, Prisma models, JWT/RBAC auth engine, seed data</t>
  </si>
  <si>
    <t>Successful schema migration, seed data for 4 roles, authenticated login returns valid role JWT tokens.</t>
  </si>
  <si>
    <t>Ready to Start</t>
  </si>
  <si>
    <t>Tech Lead / Architect</t>
  </si>
  <si>
    <t>MS-02</t>
  </si>
  <si>
    <t>Core Dispatch Engine &amp; Third-Party Integrations</t>
  </si>
  <si>
    <t>Day 5.0</t>
  </si>
  <si>
    <t>Job state machine, pincode matcher, escrow splits, SMS/OTP, S3 photo bucket, Razorpay webhooks</t>
  </si>
  <si>
    <t>Mock dispatch triggers auto-assignment to pincode technician, calculates commission, and emits lifecycle events.</t>
  </si>
  <si>
    <t>Pending Pre-requisite</t>
  </si>
  <si>
    <t>MS-03</t>
  </si>
  <si>
    <t>Super Admin Web CRM Live Data Wired (22 Screens)</t>
  </si>
  <si>
    <t>Week 2</t>
  </si>
  <si>
    <t>22 Admin Web CRM screens functional, telemetry dashboard, partner management, KYC audit console</t>
  </si>
  <si>
    <t>Super Admin can onboard partner, approve technician KYC, override commission rates, and review audit logs.</t>
  </si>
  <si>
    <t>Client Product Owner</t>
  </si>
  <si>
    <t>MS-04</t>
  </si>
  <si>
    <t>Partner Web Operations CRM Fully Functional (19 Screens)</t>
  </si>
  <si>
    <t>19 Partner Web CRM screens functional, dispatch queue, SLA escalations, Colaba heatmap, GST invoices</t>
  </si>
  <si>
    <t>Partner can view state telemetry, handle job reassignment #J-1005, view Colaba 400001 capacity, print invoice #INV-2026-001.</t>
  </si>
  <si>
    <t>Regional Franchise Partner</t>
  </si>
  <si>
    <t>MS-05</t>
  </si>
  <si>
    <t>Customer &amp; Technician Mobile Apps Functional (12 Screens)</t>
  </si>
  <si>
    <t>Day 12.5</t>
  </si>
  <si>
    <t>12 Mobile screens functional: Customer booking/tracking, Technician safety checklist, photo capture, OTP completion</t>
  </si>
  <si>
    <t>End-to-end phone test: Customer books fan repair -&gt; Tech receives job alert -&gt; Navigates -&gt; Completes safety check -&gt; Customer OTP validates -&gt; Invoice generated.</t>
  </si>
  <si>
    <t>QA Lead &amp; Product Owner</t>
  </si>
  <si>
    <t>MS-06</t>
  </si>
  <si>
    <t>GATEWAY 1: Core Platform Functional Delivery (Minimum Target)</t>
  </si>
  <si>
    <t>Day 16.0</t>
  </si>
  <si>
    <t>Week 2 / 3</t>
  </si>
  <si>
    <t>All 41 Web CRM screens and 12 Mobile screens functionally connected to backend APIs with live data flow</t>
  </si>
  <si>
    <t>All core happy paths functional end-to-end across Customer, Technician, Partner and Admin roles.</t>
  </si>
  <si>
    <t>Executive Product Sponsor</t>
  </si>
  <si>
    <t>MS-07</t>
  </si>
  <si>
    <t>Comprehensive QA, SLA Stress Testing &amp; Defect Remediation</t>
  </si>
  <si>
    <t>Day 15.0</t>
  </si>
  <si>
    <t>Week 3 (Buffer)</t>
  </si>
  <si>
    <t>Zero P0/P1 open bugs, stress testing of SLA countdowns, WORM audit verification, payment reconciliation test</t>
  </si>
  <si>
    <t>All test cases in QA matrix pass with 100% test run evidence logged.</t>
  </si>
  <si>
    <t>QA Lead</t>
  </si>
  <si>
    <t>MS-08</t>
  </si>
  <si>
    <t>Client UAT Demo Walkthrough &amp; Change Feedback Resolution</t>
  </si>
  <si>
    <t>Formal client walkthrough across all systems, stakeholder demo, resolution of critical feedback items</t>
  </si>
  <si>
    <t>Client Product Owner formally signs off UAT acceptance document.</t>
  </si>
  <si>
    <t>Client Stakeholder</t>
  </si>
  <si>
    <t>MS-09</t>
  </si>
  <si>
    <t>GATEWAY 2: Production Deployment &amp; Platform Handover (Recommended Target)</t>
  </si>
  <si>
    <t>Production cloud provisioning, managed PostgreSQL DB, SSL certificates, custom domains, APK/IPA builds</t>
  </si>
  <si>
    <t>Platform live in production environment; production credentials and deployment runbook transferred.</t>
  </si>
  <si>
    <t>Client Stakeholder &amp; Tech Lead</t>
  </si>
  <si>
    <t>Dep ID</t>
  </si>
  <si>
    <t>Pre-requisite Item / Task</t>
  </si>
  <si>
    <t>Dependent Item / Task</t>
  </si>
  <si>
    <t>Dependency Type</t>
  </si>
  <si>
    <t>Impact Description</t>
  </si>
  <si>
    <t>Critical Path (Yes/No)</t>
  </si>
  <si>
    <t>Risk Severity</t>
  </si>
  <si>
    <t>Mitigation / Contigency Plan</t>
  </si>
  <si>
    <t>DEP-001</t>
  </si>
  <si>
    <t>TASK-001 &amp; TASK-002: DB Schema &amp; Multi-Tenant Migrations</t>
  </si>
  <si>
    <t>All Backend Services (TASK-003 to TASK-009)</t>
  </si>
  <si>
    <t>Finish-to-Start (FS)</t>
  </si>
  <si>
    <t>Database models must be locked and migrated before endpoints can store entity data.</t>
  </si>
  <si>
    <t>Yes</t>
  </si>
  <si>
    <t>Critical</t>
  </si>
  <si>
    <t>Use Prisma ORM with strict TypeScript types to prevent runtime schema mismatches.</t>
  </si>
  <si>
    <t>DEP-002</t>
  </si>
  <si>
    <t>TASK-003: Authentication &amp; RBAC Engine</t>
  </si>
  <si>
    <t>All Web CRM &amp; Mobile Interfaces (TASK-014 to TASK-042)</t>
  </si>
  <si>
    <t>Screens cannot securely query APIs without JWT access tokens and role claims.</t>
  </si>
  <si>
    <t>Build clean mock auth interceptors for isolated UI testing if auth server is undergoing maintenance.</t>
  </si>
  <si>
    <t>DEP-003</t>
  </si>
  <si>
    <t>TASK-007: Job Lifecycle State Machine</t>
  </si>
  <si>
    <t>TASK-024: Job Management &amp; TASK-033: Booking Flow</t>
  </si>
  <si>
    <t>Cannot change job states (Assigned, En Route, Started, Done) without finite state machine logic.</t>
  </si>
  <si>
    <t>Formalize state transitions in a centralized enum with automated transition validator function.</t>
  </si>
  <si>
    <t>DEP-004</t>
  </si>
  <si>
    <t>TASK-010 to TASK-013: Third-Party Integrations</t>
  </si>
  <si>
    <t>TASK-033 (Payment) &amp; TASK-039 (Photo Capture)</t>
  </si>
  <si>
    <t>Live payments, SMS OTP, and photo uploads depend on valid external API credentials.</t>
  </si>
  <si>
    <t>High</t>
  </si>
  <si>
    <t>Client must supply production/sandbox API keys for Razorpay, AWS S3, and SMS provider by Day 1.</t>
  </si>
  <si>
    <t>DEP-005</t>
  </si>
  <si>
    <t>Week 1 &amp; 2: Web CRM Implementation</t>
  </si>
  <si>
    <t>Week 2 &amp; 3: Mobile App Field Coordination</t>
  </si>
  <si>
    <t>Partner and Admin must exist to onboard technicians and review KYC before mobile dispatch can be tested.</t>
  </si>
  <si>
    <t>Medium</t>
  </si>
  <si>
    <t>Solo developer builds Web CRM management first, seeding realistic technician and pincode datasets.</t>
  </si>
  <si>
    <t>DEP-006</t>
  </si>
  <si>
    <t>Week 2: Mobile App Verification Flow</t>
  </si>
  <si>
    <t>TASK-043: End-to-End System QA Simulation</t>
  </si>
  <si>
    <t>End-to-end integration cannot be verified without physical mobile app device flows.</t>
  </si>
  <si>
    <t>Run QA on physical Android and iOS test devices alongside emulators for camera &amp; GPS validation.</t>
  </si>
  <si>
    <t>DEP-007</t>
  </si>
  <si>
    <t>Week 3 Buffer: QA &amp; Defect Remediation</t>
  </si>
  <si>
    <t>TASK-045: Production Deployment &amp; Store Release</t>
  </si>
  <si>
    <t>Production release cannot proceed with open P0 blockers or unverified payment reconciliations.</t>
  </si>
  <si>
    <t>Week 3 provides the dedicated buffer for client feedback iterations and store build signing.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</si>
</sst>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 &quot;Days&quot;"/>
  </numFmts>
  <fonts count="29" x14ac:knownFonts="1">
    <font>
      <color theme="1"/>
      <family val="2"/>
      <scheme val="minor"/>
      <sz val="11"/>
      <name val="Calibri"/>
    </font>
    <font>
      <b/>
      <color rgb="FFFFFFFF"/>
      <sz val="13"/>
      <name val="Segoe UI"/>
    </font>
    <font>
      <b/>
      <i/>
      <color rgb="FF92400E"/>
      <sz val="9.5"/>
      <name val="Segoe UI"/>
    </font>
    <font>
      <b/>
      <color rgb="FF1E293B"/>
      <sz val="8.5"/>
      <name val="Segoe UI"/>
    </font>
    <font>
      <b/>
      <color rgb="FF0284C7"/>
      <sz val="9"/>
      <name val="Segoe UI"/>
    </font>
    <font>
      <b/>
      <color rgb="FF059669"/>
      <sz val="9"/>
      <name val="Segoe UI"/>
    </font>
    <font>
      <b/>
      <color rgb="FFD97706"/>
      <sz val="9"/>
      <name val="Segoe UI"/>
    </font>
    <font>
      <b/>
      <color rgb="FF64748B"/>
      <sz val="9"/>
      <name val="Segoe UI"/>
    </font>
    <font>
      <b/>
      <color rgb="FFDC2626"/>
      <sz val="9"/>
      <name val="Segoe UI"/>
    </font>
    <font>
      <b/>
      <color rgb="FF0F172A"/>
      <sz val="18"/>
      <name val="Segoe UI"/>
    </font>
    <font>
      <i/>
      <color rgb="FF64748B"/>
      <sz val="8"/>
      <name val="Segoe UI"/>
    </font>
    <font>
      <b/>
      <color rgb="FFFFFFFF"/>
      <sz val="10.5"/>
      <name val="Segoe UI"/>
    </font>
    <font>
      <b/>
      <color rgb="FFFFFFFF"/>
      <sz val="10"/>
      <name val="Segoe UI"/>
    </font>
    <font>
      <b/>
      <color rgb="FF0F172A"/>
      <sz val="10"/>
      <name val="Segoe UI"/>
    </font>
    <font>
      <color rgb="FF047857"/>
      <sz val="10"/>
      <name val="Segoe UI"/>
    </font>
    <font>
      <color rgb="FF0F172A"/>
      <sz val="10"/>
      <name val="Segoe UI"/>
    </font>
    <font>
      <b/>
      <color rgb="FF1E40AF"/>
      <sz val="10"/>
      <name val="Segoe UI"/>
    </font>
    <font>
      <b/>
      <color rgb="FF6D28D9"/>
      <sz val="10"/>
      <name val="Segoe UI"/>
    </font>
    <font>
      <b/>
      <color rgb="FF1E293B"/>
      <sz val="10"/>
      <name val="Segoe UI"/>
    </font>
    <font>
      <b/>
      <color rgb="FF64748B"/>
      <sz val="10"/>
      <name val="Segoe UI"/>
    </font>
    <font>
      <b/>
      <color rgb="FFD97706"/>
      <sz val="10"/>
      <name val="Segoe UI"/>
    </font>
    <font>
      <b/>
      <color rgb="FFFFFFFF"/>
      <sz val="9.5"/>
      <name val="Segoe UI"/>
    </font>
    <font>
      <b/>
      <color rgb="FFFFFFFF"/>
      <sz val="9"/>
      <name val="Segoe UI"/>
    </font>
    <font>
      <b/>
      <color rgb="FF7C3AED"/>
      <sz val="9"/>
      <name val="Segoe UI"/>
    </font>
    <font>
      <b/>
      <color rgb="FF4338CA"/>
      <sz val="9"/>
      <name val="Segoe UI"/>
    </font>
    <font>
      <b/>
      <color rgb="FFBE123C"/>
      <sz val="9"/>
      <name val="Segoe UI"/>
    </font>
    <font>
      <b/>
      <color rgb="FF047857"/>
      <sz val="9"/>
      <name val="Segoe UI"/>
    </font>
    <font>
      <b/>
      <color rgb="FF047857"/>
      <sz val="10"/>
      <name val="Segoe UI"/>
    </font>
    <font>
      <b/>
      <color rgb="FF475569"/>
      <sz val="10"/>
      <name val="Segoe UI"/>
    </font>
  </fonts>
  <fills count="20">
    <fill>
      <patternFill patternType="none"/>
    </fill>
    <fill>
      <patternFill patternType="gray125"/>
    </fill>
    <fill>
      <patternFill patternType="solid">
        <fgColor rgb="FF00288E"/>
      </patternFill>
    </fill>
    <fill>
      <patternFill patternType="solid">
        <fgColor rgb="FFFFFBEB"/>
      </patternFill>
    </fill>
    <fill>
      <patternFill patternType="solid">
        <fgColor rgb="FFF1F5F9"/>
      </patternFill>
    </fill>
    <fill>
      <patternFill patternType="solid">
        <fgColor rgb="FFF0F9FF"/>
      </patternFill>
    </fill>
    <fill>
      <patternFill patternType="solid">
        <fgColor rgb="FFECFDF5"/>
      </patternFill>
    </fill>
    <fill>
      <patternFill patternType="solid">
        <fgColor rgb="FFFEF3C7"/>
      </patternFill>
    </fill>
    <fill>
      <patternFill patternType="solid">
        <fgColor rgb="FFF8FAFC"/>
      </patternFill>
    </fill>
    <fill>
      <patternFill patternType="solid">
        <fgColor rgb="FFFEF2F2"/>
      </patternFill>
    </fill>
    <fill>
      <patternFill patternType="solid">
        <fgColor rgb="FF0F172A"/>
      </patternFill>
    </fill>
    <fill>
      <patternFill patternType="solid">
        <fgColor rgb="FF334155"/>
      </patternFill>
    </fill>
    <fill>
      <patternFill patternType="solid">
        <fgColor rgb="FFFFFFFF"/>
      </patternFill>
    </fill>
    <fill>
      <patternFill patternType="solid">
        <fgColor rgb="EFF6FF"/>
      </patternFill>
    </fill>
    <fill>
      <patternFill patternType="solid">
        <fgColor rgb="F5F3FF"/>
      </patternFill>
    </fill>
    <fill>
      <patternFill patternType="solid">
        <fgColor rgb="FF0369A1"/>
      </patternFill>
    </fill>
    <fill>
      <patternFill patternType="solid">
        <fgColor rgb="FF0D9488"/>
      </patternFill>
    </fill>
    <fill>
      <patternFill patternType="solid">
        <fgColor rgb="FF6D28D9"/>
      </patternFill>
    </fill>
    <fill>
      <patternFill patternType="solid">
        <fgColor rgb="FF1E293B"/>
      </patternFill>
    </fill>
    <fill>
      <patternFill patternType="solid">
        <fgColor rgb="FF475569"/>
      </patternFill>
    </fill>
  </fills>
  <borders count="6">
    <border>
      <left/>
      <right/>
      <top/>
      <bottom/>
      <diagonal/>
    </border>
    <border>
      <left style="medium">
        <color rgb="FFF59E0B"/>
      </left>
      <right style="medium">
        <color rgb="FFF59E0B"/>
      </right>
      <top style="medium">
        <color rgb="FFF59E0B"/>
      </top>
      <bottom style="medium">
        <color rgb="FFF59E0B"/>
      </bottom>
      <diagonal/>
    </border>
    <border>
      <left/>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475569"/>
      </left>
      <right style="thin">
        <color rgb="FF475569"/>
      </right>
      <top style="medium">
        <color rgb="FF00175E"/>
      </top>
      <bottom style="medium">
        <color rgb="FF00175E"/>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72">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5" borderId="3" xfId="0" applyFont="1" applyFill="1" applyBorder="1" applyAlignment="1">
      <alignment horizontal="center" vertical="center"/>
    </xf>
    <xf numFmtId="0" fontId="5" fillId="6" borderId="3" xfId="0" applyFont="1" applyFill="1" applyBorder="1" applyAlignment="1">
      <alignment horizontal="center" vertical="center"/>
    </xf>
    <xf numFmtId="0" fontId="6" fillId="7" borderId="3" xfId="0" applyFont="1" applyFill="1" applyBorder="1" applyAlignment="1">
      <alignment horizontal="center" vertical="center"/>
    </xf>
    <xf numFmtId="0" fontId="7" fillId="8" borderId="3" xfId="0" applyFont="1" applyFill="1" applyBorder="1" applyAlignment="1">
      <alignment horizontal="center" vertical="center"/>
    </xf>
    <xf numFmtId="0" fontId="8" fillId="9" borderId="3" xfId="0" applyFont="1" applyFill="1" applyBorder="1" applyAlignment="1">
      <alignment horizontal="center" vertical="center"/>
    </xf>
    <xf numFmtId="164" fontId="9" fillId="5" borderId="3" xfId="0" applyNumberFormat="1" applyFont="1" applyFill="1" applyBorder="1" applyAlignment="1">
      <alignment horizontal="center" vertical="center"/>
    </xf>
    <xf numFmtId="3" fontId="9" fillId="6" borderId="3" xfId="0" applyNumberFormat="1" applyFont="1" applyFill="1" applyBorder="1" applyAlignment="1">
      <alignment horizontal="center" vertical="center"/>
    </xf>
    <xf numFmtId="3" fontId="9" fillId="7" borderId="3" xfId="0" applyNumberFormat="1" applyFont="1" applyFill="1" applyBorder="1" applyAlignment="1">
      <alignment horizontal="center" vertical="center"/>
    </xf>
    <xf numFmtId="3" fontId="9" fillId="8" borderId="3" xfId="0" applyNumberFormat="1" applyFont="1" applyFill="1" applyBorder="1" applyAlignment="1">
      <alignment horizontal="center" vertical="center"/>
    </xf>
    <xf numFmtId="3" fontId="9" fillId="9" borderId="3" xfId="0" applyNumberFormat="1" applyFont="1" applyFill="1" applyBorder="1" applyAlignment="1">
      <alignment horizontal="center" vertical="center"/>
    </xf>
    <xf numFmtId="0" fontId="10" fillId="5" borderId="3" xfId="0" applyFont="1" applyFill="1" applyBorder="1" applyAlignment="1">
      <alignment horizontal="center" vertical="center"/>
    </xf>
    <xf numFmtId="0" fontId="10" fillId="6" borderId="3" xfId="0" applyFont="1" applyFill="1" applyBorder="1" applyAlignment="1">
      <alignment horizontal="center" vertical="center"/>
    </xf>
    <xf numFmtId="0" fontId="10" fillId="7" borderId="3" xfId="0" applyFont="1" applyFill="1" applyBorder="1" applyAlignment="1">
      <alignment horizontal="center" vertical="center"/>
    </xf>
    <xf numFmtId="0" fontId="10" fillId="8" borderId="3" xfId="0" applyFont="1" applyFill="1" applyBorder="1" applyAlignment="1">
      <alignment horizontal="center" vertical="center"/>
    </xf>
    <xf numFmtId="0" fontId="10" fillId="9" borderId="3" xfId="0" applyFont="1" applyFill="1" applyBorder="1" applyAlignment="1">
      <alignment horizontal="center" vertical="center"/>
    </xf>
    <xf numFmtId="0" fontId="11" fillId="10" borderId="0" xfId="0" applyFont="1" applyFill="1" applyAlignment="1">
      <alignment horizontal="left" vertical="center" indent="1"/>
    </xf>
    <xf numFmtId="0" fontId="12" fillId="11" borderId="4" xfId="0" applyFont="1" applyFill="1" applyBorder="1" applyAlignment="1">
      <alignment horizontal="center" vertical="center" wrapText="1"/>
    </xf>
    <xf numFmtId="0" fontId="13" fillId="12" borderId="5" xfId="0" applyFont="1" applyFill="1" applyBorder="1" applyAlignment="1">
      <alignment horizontal="center" vertical="center" wrapText="1"/>
    </xf>
    <xf numFmtId="0" fontId="13" fillId="12" borderId="5" xfId="0" applyFont="1" applyFill="1" applyBorder="1" applyAlignment="1">
      <alignment horizontal="left" vertical="center" wrapText="1"/>
    </xf>
    <xf numFmtId="0" fontId="14" fillId="6" borderId="5" xfId="0" applyFont="1" applyFill="1" applyBorder="1" applyAlignment="1">
      <alignment horizontal="center" vertical="center" wrapText="1"/>
    </xf>
    <xf numFmtId="0" fontId="15" fillId="12" borderId="5" xfId="0" applyFont="1" applyFill="1" applyBorder="1" applyAlignment="1">
      <alignment horizontal="center" vertical="center" wrapText="1"/>
    </xf>
    <xf numFmtId="0" fontId="16" fillId="13" borderId="5" xfId="0" applyFont="1" applyFill="1" applyBorder="1" applyAlignment="1">
      <alignment horizontal="center" vertical="center" wrapText="1"/>
    </xf>
    <xf numFmtId="0" fontId="17" fillId="14" borderId="5"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13" fillId="8" borderId="5" xfId="0" applyFont="1" applyFill="1" applyBorder="1" applyAlignment="1">
      <alignment horizontal="left" vertical="center" wrapText="1"/>
    </xf>
    <xf numFmtId="0" fontId="15" fillId="8" borderId="5"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5" fillId="12" borderId="5" xfId="0" applyFont="1" applyFill="1" applyBorder="1" applyAlignment="1">
      <alignment horizontal="left" vertical="center" wrapText="1"/>
    </xf>
    <xf numFmtId="165" fontId="15" fillId="12" borderId="5" xfId="0" applyNumberFormat="1" applyFont="1" applyFill="1" applyBorder="1" applyAlignment="1">
      <alignment horizontal="center" vertical="center" wrapText="1"/>
    </xf>
    <xf numFmtId="165" fontId="16" fillId="13" borderId="5" xfId="0" applyNumberFormat="1" applyFont="1" applyFill="1" applyBorder="1" applyAlignment="1">
      <alignment horizontal="center" vertical="center" wrapText="1"/>
    </xf>
    <xf numFmtId="165" fontId="17" fillId="14" borderId="5" xfId="0" applyNumberFormat="1" applyFont="1" applyFill="1" applyBorder="1" applyAlignment="1">
      <alignment horizontal="center" vertical="center" wrapText="1"/>
    </xf>
    <xf numFmtId="166" fontId="15" fillId="12" borderId="5" xfId="0" applyNumberFormat="1" applyFont="1" applyFill="1" applyBorder="1" applyAlignment="1">
      <alignment horizontal="center" vertical="center" wrapText="1"/>
    </xf>
    <xf numFmtId="0" fontId="18" fillId="12" borderId="5" xfId="0" applyFont="1" applyFill="1" applyBorder="1" applyAlignment="1">
      <alignment horizontal="center" vertical="center" wrapText="1"/>
    </xf>
    <xf numFmtId="0" fontId="19" fillId="12" borderId="5" xfId="0" applyFont="1" applyFill="1" applyBorder="1" applyAlignment="1">
      <alignment horizontal="center" vertical="center" wrapText="1"/>
    </xf>
    <xf numFmtId="9" fontId="13" fillId="12" borderId="5" xfId="0" applyNumberFormat="1" applyFont="1" applyFill="1" applyBorder="1" applyAlignment="1">
      <alignment horizontal="center" vertical="center" wrapText="1"/>
    </xf>
    <xf numFmtId="0" fontId="20" fillId="12" borderId="5" xfId="0" applyFont="1" applyFill="1" applyBorder="1" applyAlignment="1">
      <alignment horizontal="center" vertical="center" wrapText="1"/>
    </xf>
    <xf numFmtId="0" fontId="15" fillId="8" borderId="5" xfId="0" applyFont="1" applyFill="1" applyBorder="1" applyAlignment="1">
      <alignment horizontal="left" vertical="center" wrapText="1"/>
    </xf>
    <xf numFmtId="165" fontId="15" fillId="8" borderId="5" xfId="0" applyNumberFormat="1" applyFont="1" applyFill="1" applyBorder="1" applyAlignment="1">
      <alignment horizontal="center" vertical="center" wrapText="1"/>
    </xf>
    <xf numFmtId="166" fontId="15" fillId="8" borderId="5" xfId="0" applyNumberFormat="1" applyFont="1" applyFill="1" applyBorder="1" applyAlignment="1">
      <alignment horizontal="center" vertical="center" wrapText="1"/>
    </xf>
    <xf numFmtId="0" fontId="18" fillId="8" borderId="5" xfId="0" applyFont="1" applyFill="1" applyBorder="1" applyAlignment="1">
      <alignment horizontal="center" vertical="center" wrapText="1"/>
    </xf>
    <xf numFmtId="0" fontId="19" fillId="8" borderId="5" xfId="0" applyFont="1" applyFill="1" applyBorder="1" applyAlignment="1">
      <alignment horizontal="center" vertical="center" wrapText="1"/>
    </xf>
    <xf numFmtId="9" fontId="13" fillId="8" borderId="5" xfId="0" applyNumberFormat="1" applyFont="1" applyFill="1" applyBorder="1" applyAlignment="1">
      <alignment horizontal="center" vertical="center" wrapText="1"/>
    </xf>
    <xf numFmtId="0" fontId="20" fillId="8" borderId="5" xfId="0" applyFont="1" applyFill="1" applyBorder="1" applyAlignment="1">
      <alignment horizontal="center" vertical="center" wrapText="1"/>
    </xf>
    <xf numFmtId="0" fontId="21" fillId="2" borderId="0" xfId="0" applyFont="1" applyFill="1" applyAlignment="1">
      <alignment horizontal="left" vertical="center" indent="1"/>
    </xf>
    <xf numFmtId="0" fontId="21" fillId="15" borderId="0" xfId="0" applyFont="1" applyFill="1" applyAlignment="1">
      <alignment horizontal="center" vertical="center"/>
    </xf>
    <xf numFmtId="0" fontId="21" fillId="16" borderId="0" xfId="0" applyFont="1" applyFill="1" applyAlignment="1">
      <alignment horizontal="center" vertical="center"/>
    </xf>
    <xf numFmtId="0" fontId="21" fillId="17" borderId="0" xfId="0" applyFont="1" applyFill="1" applyAlignment="1">
      <alignment horizontal="center" vertical="center"/>
    </xf>
    <xf numFmtId="0" fontId="21" fillId="18" borderId="4" xfId="0" applyFont="1" applyFill="1" applyBorder="1" applyAlignment="1">
      <alignment horizontal="center" vertical="center" wrapText="1"/>
    </xf>
    <xf numFmtId="0" fontId="22" fillId="11" borderId="4" xfId="0" applyFont="1" applyFill="1" applyBorder="1" applyAlignment="1">
      <alignment horizontal="center" vertical="center" wrapText="1"/>
    </xf>
    <xf numFmtId="0" fontId="22" fillId="19" borderId="4" xfId="0" applyFont="1" applyFill="1" applyBorder="1" applyAlignment="1">
      <alignment horizontal="center" vertical="center" wrapText="1"/>
    </xf>
    <xf numFmtId="0" fontId="4" fillId="4" borderId="5" xfId="0" applyFont="1" applyFill="1" applyBorder="1" applyAlignment="1">
      <alignment horizontal="center" vertical="center"/>
    </xf>
    <xf numFmtId="0" fontId="0" fillId="12" borderId="5" xfId="0" applyFill="1" applyBorder="1"/>
    <xf numFmtId="0" fontId="0" fillId="8" borderId="5" xfId="0" applyFill="1" applyBorder="1"/>
    <xf numFmtId="0" fontId="23" fillId="4" borderId="5" xfId="0" applyFont="1" applyFill="1" applyBorder="1" applyAlignment="1">
      <alignment horizontal="center" vertical="center"/>
    </xf>
    <xf numFmtId="0" fontId="24" fillId="4" borderId="5" xfId="0" applyFont="1" applyFill="1" applyBorder="1" applyAlignment="1">
      <alignment horizontal="center" vertical="center"/>
    </xf>
    <xf numFmtId="0" fontId="5" fillId="4" borderId="5" xfId="0" applyFont="1" applyFill="1" applyBorder="1" applyAlignment="1">
      <alignment horizontal="center" vertical="center"/>
    </xf>
    <xf numFmtId="0" fontId="6" fillId="4" borderId="5" xfId="0" applyFont="1" applyFill="1" applyBorder="1" applyAlignment="1">
      <alignment horizontal="center" vertical="center"/>
    </xf>
    <xf numFmtId="0" fontId="25" fillId="4" borderId="5" xfId="0" applyFont="1" applyFill="1" applyBorder="1" applyAlignment="1">
      <alignment horizontal="center" vertical="center"/>
    </xf>
    <xf numFmtId="0" fontId="26" fillId="4" borderId="5" xfId="0" applyFont="1" applyFill="1" applyBorder="1" applyAlignment="1">
      <alignment horizontal="center" vertical="center"/>
    </xf>
    <xf numFmtId="0" fontId="27" fillId="6" borderId="5" xfId="0" applyFont="1" applyFill="1" applyBorder="1" applyAlignment="1">
      <alignment horizontal="center" vertical="center" wrapText="1"/>
    </xf>
    <xf numFmtId="164" fontId="13" fillId="12" borderId="5" xfId="0" applyNumberFormat="1" applyFont="1" applyFill="1" applyBorder="1" applyAlignment="1">
      <alignment horizontal="center" vertical="center" wrapText="1"/>
    </xf>
    <xf numFmtId="0" fontId="16" fillId="12" borderId="5" xfId="0" applyFont="1" applyFill="1" applyBorder="1" applyAlignment="1">
      <alignment horizontal="center" vertical="center" wrapText="1"/>
    </xf>
    <xf numFmtId="164" fontId="13" fillId="8" borderId="5" xfId="0" applyNumberFormat="1" applyFont="1" applyFill="1" applyBorder="1" applyAlignment="1">
      <alignment horizontal="center" vertical="center" wrapText="1"/>
    </xf>
    <xf numFmtId="0" fontId="16" fillId="8" borderId="5" xfId="0" applyFont="1" applyFill="1" applyBorder="1" applyAlignment="1">
      <alignment horizontal="center" vertical="center" wrapText="1"/>
    </xf>
    <xf numFmtId="0" fontId="15" fillId="12" borderId="5" xfId="0" applyFont="1" applyFill="1" applyBorder="1" applyAlignment="1">
      <alignment horizontal="center" vertical="center"/>
    </xf>
    <xf numFmtId="0" fontId="15" fillId="8" borderId="5" xfId="0" applyFont="1" applyFill="1" applyBorder="1" applyAlignment="1">
      <alignment horizontal="center" vertical="center"/>
    </xf>
    <xf numFmtId="0" fontId="28" fillId="12" borderId="5" xfId="0" applyFont="1" applyFill="1" applyBorder="1" applyAlignment="1">
      <alignment horizontal="center" vertical="center" wrapText="1"/>
    </xf>
    <xf numFmtId="0" fontId="28" fillId="8"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88E"/>
  </sheetPr>
  <dimension ref="B2:K22"/>
  <sheetViews>
    <sheetView workbookViewId="0"/>
  </sheetViews>
  <sheetFormatPr defaultRowHeight="15" outlineLevelRow="0" outlineLevelCol="0" x14ac:dyDescent="55"/>
  <cols>
    <col min="1" max="1" width="4" customWidth="1"/>
    <col min="2" max="2" width="14" customWidth="1"/>
    <col min="3" max="3" width="26" customWidth="1"/>
    <col min="4" max="4" width="16" customWidth="1"/>
    <col min="5" max="7" width="14" customWidth="1"/>
    <col min="8" max="9" width="16" customWidth="1"/>
    <col min="10" max="10" width="20" customWidth="1"/>
    <col min="11" max="11" width="24" customWidth="1"/>
  </cols>
  <sheetData>
    <row r="2" spans="2:11" x14ac:dyDescent="0.25">
      <c r="B2" s="1" t="s">
        <v>0</v>
      </c>
      <c r="C2" s="1"/>
      <c r="D2" s="1"/>
      <c r="E2" s="1"/>
      <c r="F2" s="1"/>
      <c r="G2" s="1"/>
      <c r="H2" s="1"/>
      <c r="I2" s="1"/>
      <c r="J2" s="1"/>
      <c r="K2" s="1"/>
    </row>
    <row r="3" spans="2:11" x14ac:dyDescent="0.25">
      <c r="B3" s="1"/>
      <c r="C3" s="1"/>
      <c r="D3" s="1"/>
      <c r="E3" s="1"/>
      <c r="F3" s="1"/>
      <c r="G3" s="1"/>
      <c r="H3" s="1"/>
      <c r="I3" s="1"/>
      <c r="J3" s="1"/>
      <c r="K3" s="1"/>
    </row>
    <row r="4" spans="2:11" x14ac:dyDescent="0.25">
      <c r="B4" s="2" t="s">
        <v>1</v>
      </c>
      <c r="C4" s="2"/>
      <c r="D4" s="2"/>
      <c r="E4" s="2"/>
      <c r="F4" s="2"/>
      <c r="G4" s="2"/>
      <c r="H4" s="2"/>
      <c r="I4" s="2"/>
      <c r="J4" s="2"/>
      <c r="K4" s="2"/>
    </row>
    <row r="5" spans="2:11" x14ac:dyDescent="0.25">
      <c r="B5" s="2"/>
      <c r="C5" s="2"/>
      <c r="D5" s="2"/>
      <c r="E5" s="2"/>
      <c r="F5" s="2"/>
      <c r="G5" s="2"/>
      <c r="H5" s="2"/>
      <c r="I5" s="2"/>
      <c r="J5" s="2"/>
      <c r="K5" s="2"/>
    </row>
    <row r="6" spans="2:11" x14ac:dyDescent="0.25">
      <c r="B6" s="3" t="s">
        <v>2</v>
      </c>
      <c r="C6" s="3"/>
      <c r="D6" s="3" t="s">
        <v>3</v>
      </c>
      <c r="E6" s="3"/>
      <c r="F6" s="3" t="s">
        <v>4</v>
      </c>
      <c r="G6" s="3"/>
      <c r="H6" s="3" t="s">
        <v>5</v>
      </c>
      <c r="I6" s="3"/>
      <c r="J6" s="3" t="s">
        <v>6</v>
      </c>
      <c r="K6" s="3"/>
    </row>
    <row r="8" spans="2:11" x14ac:dyDescent="0.25">
      <c r="B8" s="4" t="s">
        <v>7</v>
      </c>
      <c r="C8" s="4"/>
      <c r="D8" s="5" t="s">
        <v>8</v>
      </c>
      <c r="E8" s="5"/>
      <c r="F8" s="6" t="s">
        <v>9</v>
      </c>
      <c r="G8" s="6"/>
      <c r="H8" s="7" t="s">
        <v>10</v>
      </c>
      <c r="I8" s="7"/>
      <c r="J8" s="8" t="s">
        <v>11</v>
      </c>
      <c r="K8" s="8"/>
    </row>
    <row r="9" spans="2:11" x14ac:dyDescent="0.25">
      <c r="B9" s="9">
        <f>AVERAGE('Development Plan'!L2:L46)</f>
      </c>
      <c r="C9" s="9"/>
      <c r="D9" s="10">
        <f>COUNTIF('Development Plan'!K2:K46, "Client Approved") + COUNTIF('Development Plan'!K2:K46, "Tested") + COUNTIF('Development Plan'!K2:K46, "Functional")</f>
      </c>
      <c r="E9" s="10"/>
      <c r="F9" s="11">
        <f>COUNTIF('Development Plan'!K2:K46, "In Progress") + COUNTIF('Development Plan'!K2:K46, "Implemented")</f>
      </c>
      <c r="G9" s="11"/>
      <c r="H9" s="12">
        <f>COUNTIF('Development Plan'!K2:K46, "Not Started") + COUNTIF('Development Plan'!K2:K46, "Designed")</f>
      </c>
      <c r="I9" s="12"/>
      <c r="J9" s="13">
        <f>COUNTIF('Bugs &amp; Issues'!G2:G50, "Critical") + COUNTIF('Development Plan'!K2:K46, "Blocked")</f>
      </c>
      <c r="K9" s="13"/>
    </row>
    <row r="10" spans="2:11" x14ac:dyDescent="0.25">
      <c r="B10" s="14" t="s">
        <v>12</v>
      </c>
      <c r="C10" s="14"/>
      <c r="D10" s="15" t="s">
        <v>13</v>
      </c>
      <c r="E10" s="15"/>
      <c r="F10" s="16" t="s">
        <v>14</v>
      </c>
      <c r="G10" s="16"/>
      <c r="H10" s="17" t="s">
        <v>15</v>
      </c>
      <c r="I10" s="17"/>
      <c r="J10" s="18" t="s">
        <v>16</v>
      </c>
      <c r="K10" s="18"/>
    </row>
    <row r="12" spans="2:11" x14ac:dyDescent="0.25">
      <c r="B12" s="19" t="s">
        <v>17</v>
      </c>
      <c r="C12" s="19"/>
      <c r="D12" s="19"/>
      <c r="E12" s="19"/>
      <c r="F12" s="19"/>
      <c r="G12" s="19"/>
      <c r="H12" s="19"/>
      <c r="I12" s="19"/>
      <c r="J12" s="19"/>
      <c r="K12" s="19"/>
    </row>
    <row r="13" spans="2:11" x14ac:dyDescent="0.25">
      <c r="B13" s="20" t="s">
        <v>18</v>
      </c>
      <c r="C13" s="20" t="s">
        <v>19</v>
      </c>
      <c r="D13" s="20" t="s">
        <v>20</v>
      </c>
      <c r="E13" s="20" t="s">
        <v>21</v>
      </c>
      <c r="F13" s="20" t="s">
        <v>22</v>
      </c>
      <c r="G13" s="20" t="s">
        <v>23</v>
      </c>
      <c r="H13" s="20" t="s">
        <v>24</v>
      </c>
      <c r="I13" s="20" t="s">
        <v>25</v>
      </c>
      <c r="J13" s="20" t="s">
        <v>26</v>
      </c>
      <c r="K13" s="20" t="s">
        <v>27</v>
      </c>
    </row>
    <row r="14" spans="2:11" x14ac:dyDescent="0.25">
      <c r="B14" s="21" t="s">
        <v>28</v>
      </c>
      <c r="C14" s="22" t="s">
        <v>29</v>
      </c>
      <c r="D14" s="23" t="s">
        <v>30</v>
      </c>
      <c r="E14" s="24" t="s">
        <v>31</v>
      </c>
      <c r="F14" s="24" t="s">
        <v>31</v>
      </c>
      <c r="G14" s="24" t="s">
        <v>31</v>
      </c>
      <c r="H14" s="24" t="s">
        <v>32</v>
      </c>
      <c r="I14" s="25" t="s">
        <v>33</v>
      </c>
      <c r="J14" s="26" t="s">
        <v>34</v>
      </c>
      <c r="K14" s="21">
        <f>='Module Tracker'!J2</f>
      </c>
    </row>
    <row r="15" spans="2:11" x14ac:dyDescent="0.25">
      <c r="B15" s="27" t="s">
        <v>35</v>
      </c>
      <c r="C15" s="28" t="s">
        <v>36</v>
      </c>
      <c r="D15" s="23" t="s">
        <v>37</v>
      </c>
      <c r="E15" s="29" t="s">
        <v>31</v>
      </c>
      <c r="F15" s="29" t="s">
        <v>31</v>
      </c>
      <c r="G15" s="29" t="s">
        <v>31</v>
      </c>
      <c r="H15" s="29" t="s">
        <v>32</v>
      </c>
      <c r="I15" s="25" t="s">
        <v>38</v>
      </c>
      <c r="J15" s="26" t="s">
        <v>39</v>
      </c>
      <c r="K15" s="27">
        <f>='Module Tracker'!J3</f>
      </c>
    </row>
    <row r="16" spans="2:11" x14ac:dyDescent="0.25">
      <c r="B16" s="21" t="s">
        <v>40</v>
      </c>
      <c r="C16" s="22" t="s">
        <v>41</v>
      </c>
      <c r="D16" s="23" t="s">
        <v>42</v>
      </c>
      <c r="E16" s="24" t="s">
        <v>31</v>
      </c>
      <c r="F16" s="24" t="s">
        <v>31</v>
      </c>
      <c r="G16" s="24" t="s">
        <v>31</v>
      </c>
      <c r="H16" s="24" t="s">
        <v>32</v>
      </c>
      <c r="I16" s="25" t="s">
        <v>43</v>
      </c>
      <c r="J16" s="26" t="s">
        <v>44</v>
      </c>
      <c r="K16" s="21">
        <f>='Module Tracker'!J4</f>
      </c>
    </row>
    <row r="17" spans="2:11" x14ac:dyDescent="0.25">
      <c r="B17" s="27" t="s">
        <v>45</v>
      </c>
      <c r="C17" s="28" t="s">
        <v>46</v>
      </c>
      <c r="D17" s="23" t="s">
        <v>47</v>
      </c>
      <c r="E17" s="29" t="s">
        <v>31</v>
      </c>
      <c r="F17" s="29" t="s">
        <v>31</v>
      </c>
      <c r="G17" s="29" t="s">
        <v>31</v>
      </c>
      <c r="H17" s="29" t="s">
        <v>32</v>
      </c>
      <c r="I17" s="25" t="s">
        <v>48</v>
      </c>
      <c r="J17" s="26" t="s">
        <v>43</v>
      </c>
      <c r="K17" s="27">
        <f>='Module Tracker'!J5</f>
      </c>
    </row>
    <row r="18" spans="2:11" x14ac:dyDescent="0.25">
      <c r="B18" s="21" t="s">
        <v>49</v>
      </c>
      <c r="C18" s="22" t="s">
        <v>50</v>
      </c>
      <c r="D18" s="23" t="s">
        <v>51</v>
      </c>
      <c r="E18" s="24" t="s">
        <v>31</v>
      </c>
      <c r="F18" s="24" t="s">
        <v>31</v>
      </c>
      <c r="G18" s="24" t="s">
        <v>31</v>
      </c>
      <c r="H18" s="24" t="s">
        <v>32</v>
      </c>
      <c r="I18" s="25" t="s">
        <v>52</v>
      </c>
      <c r="J18" s="26" t="s">
        <v>53</v>
      </c>
      <c r="K18" s="21">
        <f>='Module Tracker'!J6</f>
      </c>
    </row>
    <row r="19" spans="2:11" x14ac:dyDescent="0.25">
      <c r="B19" s="27" t="s">
        <v>54</v>
      </c>
      <c r="C19" s="28" t="s">
        <v>55</v>
      </c>
      <c r="D19" s="23" t="s">
        <v>56</v>
      </c>
      <c r="E19" s="29" t="s">
        <v>31</v>
      </c>
      <c r="F19" s="29" t="s">
        <v>31</v>
      </c>
      <c r="G19" s="29" t="s">
        <v>31</v>
      </c>
      <c r="H19" s="29" t="s">
        <v>32</v>
      </c>
      <c r="I19" s="25" t="s">
        <v>57</v>
      </c>
      <c r="J19" s="26" t="s">
        <v>48</v>
      </c>
      <c r="K19" s="27">
        <f>='Module Tracker'!J7</f>
      </c>
    </row>
    <row r="20" spans="2:11" x14ac:dyDescent="0.25">
      <c r="B20" s="21" t="s">
        <v>58</v>
      </c>
      <c r="C20" s="22" t="s">
        <v>59</v>
      </c>
      <c r="D20" s="23" t="s">
        <v>60</v>
      </c>
      <c r="E20" s="24" t="s">
        <v>61</v>
      </c>
      <c r="F20" s="24" t="s">
        <v>61</v>
      </c>
      <c r="G20" s="24" t="s">
        <v>61</v>
      </c>
      <c r="H20" s="24" t="s">
        <v>32</v>
      </c>
      <c r="I20" s="25" t="s">
        <v>62</v>
      </c>
      <c r="J20" s="26" t="s">
        <v>63</v>
      </c>
      <c r="K20" s="21">
        <f>='Module Tracker'!J8</f>
      </c>
    </row>
    <row r="21" spans="2:11" x14ac:dyDescent="0.25">
      <c r="B21" s="27" t="s">
        <v>64</v>
      </c>
      <c r="C21" s="28" t="s">
        <v>65</v>
      </c>
      <c r="D21" s="23" t="s">
        <v>66</v>
      </c>
      <c r="E21" s="29" t="s">
        <v>61</v>
      </c>
      <c r="F21" s="29" t="s">
        <v>61</v>
      </c>
      <c r="G21" s="29" t="s">
        <v>61</v>
      </c>
      <c r="H21" s="29" t="s">
        <v>32</v>
      </c>
      <c r="I21" s="25" t="s">
        <v>67</v>
      </c>
      <c r="J21" s="26" t="s">
        <v>68</v>
      </c>
      <c r="K21" s="27">
        <f>='Module Tracker'!J9</f>
      </c>
    </row>
    <row r="22" spans="2:11" x14ac:dyDescent="0.25">
      <c r="B22" s="21" t="s">
        <v>69</v>
      </c>
      <c r="C22" s="22" t="s">
        <v>70</v>
      </c>
      <c r="D22" s="23" t="s">
        <v>71</v>
      </c>
      <c r="E22" s="24" t="s">
        <v>61</v>
      </c>
      <c r="F22" s="24" t="s">
        <v>61</v>
      </c>
      <c r="G22" s="24" t="s">
        <v>61</v>
      </c>
      <c r="H22" s="24" t="s">
        <v>32</v>
      </c>
      <c r="I22" s="25" t="s">
        <v>67</v>
      </c>
      <c r="J22" s="26" t="s">
        <v>72</v>
      </c>
      <c r="K22" s="21">
        <f>='Module Tracker'!J10</f>
      </c>
    </row>
  </sheetData>
  <mergeCells count="23">
    <mergeCell ref="B2:K3"/>
    <mergeCell ref="B4:K5"/>
    <mergeCell ref="B6:C6"/>
    <mergeCell ref="D6:E6"/>
    <mergeCell ref="F6:G6"/>
    <mergeCell ref="H6:I6"/>
    <mergeCell ref="J6:K6"/>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12:K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sheetPr>
  <dimension ref="A1:P4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2" customWidth="1"/>
    <col min="3" max="3" width="24" customWidth="1"/>
    <col min="4" max="4" width="46" customWidth="1"/>
    <col min="5" max="5" width="20" customWidth="1"/>
    <col min="6" max="6" width="14" customWidth="1"/>
    <col min="7" max="7" width="16" customWidth="1"/>
    <col min="8" max="8" width="18" customWidth="1"/>
    <col min="9" max="9" width="14" customWidth="1"/>
    <col min="10" max="11" width="16" customWidth="1"/>
    <col min="12" max="12" width="14" customWidth="1"/>
    <col min="13" max="13" width="16" customWidth="1"/>
    <col min="14" max="14" width="18" customWidth="1"/>
    <col min="15" max="15" width="16" customWidth="1"/>
    <col min="16" max="16" width="48" customWidth="1"/>
  </cols>
  <sheetData>
    <row r="1" spans="1:16" x14ac:dyDescent="0.25">
      <c r="A1" s="30" t="s">
        <v>73</v>
      </c>
      <c r="B1" s="30" t="s">
        <v>74</v>
      </c>
      <c r="C1" s="30" t="s">
        <v>75</v>
      </c>
      <c r="D1" s="30" t="s">
        <v>76</v>
      </c>
      <c r="E1" s="30" t="s">
        <v>77</v>
      </c>
      <c r="F1" s="30" t="s">
        <v>78</v>
      </c>
      <c r="G1" s="30" t="s">
        <v>25</v>
      </c>
      <c r="H1" s="30" t="s">
        <v>26</v>
      </c>
      <c r="I1" s="30" t="s">
        <v>79</v>
      </c>
      <c r="J1" s="30" t="s">
        <v>80</v>
      </c>
      <c r="K1" s="30" t="s">
        <v>81</v>
      </c>
      <c r="L1" s="30" t="s">
        <v>82</v>
      </c>
      <c r="M1" s="30" t="s">
        <v>83</v>
      </c>
      <c r="N1" s="30" t="s">
        <v>84</v>
      </c>
      <c r="O1" s="30" t="s">
        <v>85</v>
      </c>
      <c r="P1" s="30" t="s">
        <v>86</v>
      </c>
    </row>
    <row r="2" spans="1:16" x14ac:dyDescent="0.25">
      <c r="A2" s="21" t="s">
        <v>87</v>
      </c>
      <c r="B2" s="31" t="s">
        <v>88</v>
      </c>
      <c r="C2" s="22" t="s">
        <v>50</v>
      </c>
      <c r="D2" s="31" t="s">
        <v>89</v>
      </c>
      <c r="E2" s="24" t="s">
        <v>90</v>
      </c>
      <c r="F2" s="32">
        <v>1</v>
      </c>
      <c r="G2" s="33">
        <v>1.5</v>
      </c>
      <c r="H2" s="34">
        <v>1.5</v>
      </c>
      <c r="I2" s="35">
        <v>0.5</v>
      </c>
      <c r="J2" s="36" t="s">
        <v>91</v>
      </c>
      <c r="K2" s="37" t="s">
        <v>22</v>
      </c>
      <c r="L2" s="38">
        <v>1</v>
      </c>
      <c r="M2" s="24" t="s">
        <v>92</v>
      </c>
      <c r="N2" s="24" t="s">
        <v>92</v>
      </c>
      <c r="O2" s="39" t="s">
        <v>32</v>
      </c>
      <c r="P2" s="31" t="s">
        <v>93</v>
      </c>
    </row>
    <row r="3" spans="1:16" x14ac:dyDescent="0.25">
      <c r="A3" s="27" t="s">
        <v>94</v>
      </c>
      <c r="B3" s="40" t="s">
        <v>88</v>
      </c>
      <c r="C3" s="28" t="s">
        <v>50</v>
      </c>
      <c r="D3" s="40" t="s">
        <v>95</v>
      </c>
      <c r="E3" s="29" t="s">
        <v>96</v>
      </c>
      <c r="F3" s="41">
        <v>1.5</v>
      </c>
      <c r="G3" s="33">
        <v>2</v>
      </c>
      <c r="H3" s="34">
        <v>2.5</v>
      </c>
      <c r="I3" s="42">
        <v>0.5</v>
      </c>
      <c r="J3" s="43" t="s">
        <v>91</v>
      </c>
      <c r="K3" s="44" t="s">
        <v>22</v>
      </c>
      <c r="L3" s="45">
        <v>1</v>
      </c>
      <c r="M3" s="29" t="s">
        <v>87</v>
      </c>
      <c r="N3" s="29" t="s">
        <v>92</v>
      </c>
      <c r="O3" s="46" t="s">
        <v>32</v>
      </c>
      <c r="P3" s="40" t="s">
        <v>97</v>
      </c>
    </row>
    <row r="4" spans="1:16" x14ac:dyDescent="0.25">
      <c r="A4" s="21" t="s">
        <v>98</v>
      </c>
      <c r="B4" s="31" t="s">
        <v>88</v>
      </c>
      <c r="C4" s="22" t="s">
        <v>50</v>
      </c>
      <c r="D4" s="31" t="s">
        <v>99</v>
      </c>
      <c r="E4" s="24" t="s">
        <v>100</v>
      </c>
      <c r="F4" s="32">
        <v>2</v>
      </c>
      <c r="G4" s="33">
        <v>2.5</v>
      </c>
      <c r="H4" s="34">
        <v>3.5</v>
      </c>
      <c r="I4" s="35">
        <v>0.5</v>
      </c>
      <c r="J4" s="36" t="s">
        <v>91</v>
      </c>
      <c r="K4" s="37" t="s">
        <v>22</v>
      </c>
      <c r="L4" s="38">
        <v>1</v>
      </c>
      <c r="M4" s="24" t="s">
        <v>94</v>
      </c>
      <c r="N4" s="24" t="s">
        <v>92</v>
      </c>
      <c r="O4" s="39" t="s">
        <v>32</v>
      </c>
      <c r="P4" s="31" t="s">
        <v>101</v>
      </c>
    </row>
    <row r="5" spans="1:16" x14ac:dyDescent="0.25">
      <c r="A5" s="27" t="s">
        <v>102</v>
      </c>
      <c r="B5" s="40" t="s">
        <v>88</v>
      </c>
      <c r="C5" s="28" t="s">
        <v>50</v>
      </c>
      <c r="D5" s="40" t="s">
        <v>103</v>
      </c>
      <c r="E5" s="29" t="s">
        <v>104</v>
      </c>
      <c r="F5" s="41">
        <v>2.5</v>
      </c>
      <c r="G5" s="33">
        <v>3</v>
      </c>
      <c r="H5" s="34">
        <v>4</v>
      </c>
      <c r="I5" s="42">
        <v>0.5</v>
      </c>
      <c r="J5" s="43" t="s">
        <v>91</v>
      </c>
      <c r="K5" s="44" t="s">
        <v>22</v>
      </c>
      <c r="L5" s="45">
        <v>1</v>
      </c>
      <c r="M5" s="29" t="s">
        <v>98</v>
      </c>
      <c r="N5" s="29" t="s">
        <v>92</v>
      </c>
      <c r="O5" s="46" t="s">
        <v>32</v>
      </c>
      <c r="P5" s="40" t="s">
        <v>105</v>
      </c>
    </row>
    <row r="6" spans="1:16" x14ac:dyDescent="0.25">
      <c r="A6" s="21" t="s">
        <v>106</v>
      </c>
      <c r="B6" s="31" t="s">
        <v>88</v>
      </c>
      <c r="C6" s="22" t="s">
        <v>50</v>
      </c>
      <c r="D6" s="31" t="s">
        <v>107</v>
      </c>
      <c r="E6" s="24" t="s">
        <v>104</v>
      </c>
      <c r="F6" s="32">
        <v>3</v>
      </c>
      <c r="G6" s="33">
        <v>3.5</v>
      </c>
      <c r="H6" s="34">
        <v>4.5</v>
      </c>
      <c r="I6" s="35">
        <v>0.5</v>
      </c>
      <c r="J6" s="36" t="s">
        <v>108</v>
      </c>
      <c r="K6" s="37" t="s">
        <v>22</v>
      </c>
      <c r="L6" s="38">
        <v>1</v>
      </c>
      <c r="M6" s="24" t="s">
        <v>102</v>
      </c>
      <c r="N6" s="24" t="s">
        <v>92</v>
      </c>
      <c r="O6" s="39" t="s">
        <v>32</v>
      </c>
      <c r="P6" s="31" t="s">
        <v>109</v>
      </c>
    </row>
    <row r="7" spans="1:16" x14ac:dyDescent="0.25">
      <c r="A7" s="27" t="s">
        <v>110</v>
      </c>
      <c r="B7" s="40" t="s">
        <v>88</v>
      </c>
      <c r="C7" s="28" t="s">
        <v>50</v>
      </c>
      <c r="D7" s="40" t="s">
        <v>111</v>
      </c>
      <c r="E7" s="29" t="s">
        <v>104</v>
      </c>
      <c r="F7" s="41">
        <v>3.5</v>
      </c>
      <c r="G7" s="33">
        <v>4</v>
      </c>
      <c r="H7" s="34">
        <v>5</v>
      </c>
      <c r="I7" s="42">
        <v>0.5</v>
      </c>
      <c r="J7" s="43" t="s">
        <v>108</v>
      </c>
      <c r="K7" s="44" t="s">
        <v>22</v>
      </c>
      <c r="L7" s="45">
        <v>1</v>
      </c>
      <c r="M7" s="29" t="s">
        <v>106</v>
      </c>
      <c r="N7" s="29" t="s">
        <v>92</v>
      </c>
      <c r="O7" s="46" t="s">
        <v>32</v>
      </c>
      <c r="P7" s="40" t="s">
        <v>112</v>
      </c>
    </row>
    <row r="8" spans="1:16" x14ac:dyDescent="0.25">
      <c r="A8" s="21" t="s">
        <v>113</v>
      </c>
      <c r="B8" s="31" t="s">
        <v>88</v>
      </c>
      <c r="C8" s="22" t="s">
        <v>50</v>
      </c>
      <c r="D8" s="31" t="s">
        <v>114</v>
      </c>
      <c r="E8" s="24" t="s">
        <v>104</v>
      </c>
      <c r="F8" s="32">
        <v>4</v>
      </c>
      <c r="G8" s="33">
        <v>4.5</v>
      </c>
      <c r="H8" s="34">
        <v>5.5</v>
      </c>
      <c r="I8" s="35">
        <v>0.5</v>
      </c>
      <c r="J8" s="36" t="s">
        <v>91</v>
      </c>
      <c r="K8" s="37" t="s">
        <v>22</v>
      </c>
      <c r="L8" s="38">
        <v>1</v>
      </c>
      <c r="M8" s="24" t="s">
        <v>110</v>
      </c>
      <c r="N8" s="24" t="s">
        <v>92</v>
      </c>
      <c r="O8" s="39" t="s">
        <v>32</v>
      </c>
      <c r="P8" s="31" t="s">
        <v>115</v>
      </c>
    </row>
    <row r="9" spans="1:16" x14ac:dyDescent="0.25">
      <c r="A9" s="27" t="s">
        <v>116</v>
      </c>
      <c r="B9" s="40" t="s">
        <v>88</v>
      </c>
      <c r="C9" s="28" t="s">
        <v>50</v>
      </c>
      <c r="D9" s="40" t="s">
        <v>117</v>
      </c>
      <c r="E9" s="29" t="s">
        <v>104</v>
      </c>
      <c r="F9" s="41">
        <v>4.5</v>
      </c>
      <c r="G9" s="33">
        <v>5</v>
      </c>
      <c r="H9" s="34">
        <v>6</v>
      </c>
      <c r="I9" s="42">
        <v>0.5</v>
      </c>
      <c r="J9" s="43" t="s">
        <v>91</v>
      </c>
      <c r="K9" s="44" t="s">
        <v>22</v>
      </c>
      <c r="L9" s="45">
        <v>1</v>
      </c>
      <c r="M9" s="29" t="s">
        <v>113</v>
      </c>
      <c r="N9" s="29" t="s">
        <v>92</v>
      </c>
      <c r="O9" s="46" t="s">
        <v>32</v>
      </c>
      <c r="P9" s="40" t="s">
        <v>118</v>
      </c>
    </row>
    <row r="10" spans="1:16" x14ac:dyDescent="0.25">
      <c r="A10" s="21" t="s">
        <v>119</v>
      </c>
      <c r="B10" s="31" t="s">
        <v>88</v>
      </c>
      <c r="C10" s="22" t="s">
        <v>50</v>
      </c>
      <c r="D10" s="31" t="s">
        <v>120</v>
      </c>
      <c r="E10" s="24" t="s">
        <v>121</v>
      </c>
      <c r="F10" s="32">
        <v>5</v>
      </c>
      <c r="G10" s="33">
        <v>5.5</v>
      </c>
      <c r="H10" s="34">
        <v>6.5</v>
      </c>
      <c r="I10" s="35">
        <v>0.5</v>
      </c>
      <c r="J10" s="36" t="s">
        <v>108</v>
      </c>
      <c r="K10" s="37" t="s">
        <v>22</v>
      </c>
      <c r="L10" s="38">
        <v>1</v>
      </c>
      <c r="M10" s="24" t="s">
        <v>116</v>
      </c>
      <c r="N10" s="24" t="s">
        <v>92</v>
      </c>
      <c r="O10" s="39" t="s">
        <v>32</v>
      </c>
      <c r="P10" s="31" t="s">
        <v>122</v>
      </c>
    </row>
    <row r="11" spans="1:16" x14ac:dyDescent="0.25">
      <c r="A11" s="27" t="s">
        <v>123</v>
      </c>
      <c r="B11" s="40" t="s">
        <v>88</v>
      </c>
      <c r="C11" s="28" t="s">
        <v>55</v>
      </c>
      <c r="D11" s="40" t="s">
        <v>124</v>
      </c>
      <c r="E11" s="29" t="s">
        <v>125</v>
      </c>
      <c r="F11" s="41">
        <v>5.5</v>
      </c>
      <c r="G11" s="33">
        <v>5.75</v>
      </c>
      <c r="H11" s="34">
        <v>7</v>
      </c>
      <c r="I11" s="42">
        <v>0.25</v>
      </c>
      <c r="J11" s="43" t="s">
        <v>91</v>
      </c>
      <c r="K11" s="44" t="s">
        <v>22</v>
      </c>
      <c r="L11" s="45">
        <v>1</v>
      </c>
      <c r="M11" s="29" t="s">
        <v>119</v>
      </c>
      <c r="N11" s="29" t="s">
        <v>92</v>
      </c>
      <c r="O11" s="46" t="s">
        <v>32</v>
      </c>
      <c r="P11" s="40" t="s">
        <v>126</v>
      </c>
    </row>
    <row r="12" spans="1:16" x14ac:dyDescent="0.25">
      <c r="A12" s="21" t="s">
        <v>127</v>
      </c>
      <c r="B12" s="31" t="s">
        <v>88</v>
      </c>
      <c r="C12" s="22" t="s">
        <v>55</v>
      </c>
      <c r="D12" s="31" t="s">
        <v>128</v>
      </c>
      <c r="E12" s="24" t="s">
        <v>129</v>
      </c>
      <c r="F12" s="32">
        <v>5.75</v>
      </c>
      <c r="G12" s="33">
        <v>6</v>
      </c>
      <c r="H12" s="34">
        <v>7.25</v>
      </c>
      <c r="I12" s="35">
        <v>0.25</v>
      </c>
      <c r="J12" s="36" t="s">
        <v>108</v>
      </c>
      <c r="K12" s="37" t="s">
        <v>22</v>
      </c>
      <c r="L12" s="38">
        <v>1</v>
      </c>
      <c r="M12" s="24" t="s">
        <v>123</v>
      </c>
      <c r="N12" s="24" t="s">
        <v>92</v>
      </c>
      <c r="O12" s="39" t="s">
        <v>32</v>
      </c>
      <c r="P12" s="31" t="s">
        <v>130</v>
      </c>
    </row>
    <row r="13" spans="1:16" x14ac:dyDescent="0.25">
      <c r="A13" s="27" t="s">
        <v>131</v>
      </c>
      <c r="B13" s="40" t="s">
        <v>88</v>
      </c>
      <c r="C13" s="28" t="s">
        <v>55</v>
      </c>
      <c r="D13" s="40" t="s">
        <v>132</v>
      </c>
      <c r="E13" s="29" t="s">
        <v>133</v>
      </c>
      <c r="F13" s="41">
        <v>6</v>
      </c>
      <c r="G13" s="33">
        <v>6.5</v>
      </c>
      <c r="H13" s="34">
        <v>7.5</v>
      </c>
      <c r="I13" s="42">
        <v>0.5</v>
      </c>
      <c r="J13" s="43" t="s">
        <v>91</v>
      </c>
      <c r="K13" s="44" t="s">
        <v>22</v>
      </c>
      <c r="L13" s="45">
        <v>1</v>
      </c>
      <c r="M13" s="29" t="s">
        <v>127</v>
      </c>
      <c r="N13" s="29" t="s">
        <v>92</v>
      </c>
      <c r="O13" s="46" t="s">
        <v>32</v>
      </c>
      <c r="P13" s="40" t="s">
        <v>134</v>
      </c>
    </row>
    <row r="14" spans="1:16" x14ac:dyDescent="0.25">
      <c r="A14" s="21" t="s">
        <v>135</v>
      </c>
      <c r="B14" s="31" t="s">
        <v>88</v>
      </c>
      <c r="C14" s="22" t="s">
        <v>55</v>
      </c>
      <c r="D14" s="31" t="s">
        <v>136</v>
      </c>
      <c r="E14" s="24" t="s">
        <v>137</v>
      </c>
      <c r="F14" s="32">
        <v>6.5</v>
      </c>
      <c r="G14" s="33">
        <v>6.75</v>
      </c>
      <c r="H14" s="34">
        <v>7.75</v>
      </c>
      <c r="I14" s="35">
        <v>0.25</v>
      </c>
      <c r="J14" s="36" t="s">
        <v>108</v>
      </c>
      <c r="K14" s="37" t="s">
        <v>22</v>
      </c>
      <c r="L14" s="38">
        <v>1</v>
      </c>
      <c r="M14" s="24" t="s">
        <v>131</v>
      </c>
      <c r="N14" s="24" t="s">
        <v>92</v>
      </c>
      <c r="O14" s="39" t="s">
        <v>32</v>
      </c>
      <c r="P14" s="31" t="s">
        <v>138</v>
      </c>
    </row>
    <row r="15" spans="1:16" x14ac:dyDescent="0.25">
      <c r="A15" s="27" t="s">
        <v>139</v>
      </c>
      <c r="B15" s="40" t="s">
        <v>88</v>
      </c>
      <c r="C15" s="28" t="s">
        <v>46</v>
      </c>
      <c r="D15" s="40" t="s">
        <v>140</v>
      </c>
      <c r="E15" s="29" t="s">
        <v>141</v>
      </c>
      <c r="F15" s="41">
        <v>6.75</v>
      </c>
      <c r="G15" s="33">
        <v>7</v>
      </c>
      <c r="H15" s="34">
        <v>8</v>
      </c>
      <c r="I15" s="42">
        <v>0.25</v>
      </c>
      <c r="J15" s="43" t="s">
        <v>91</v>
      </c>
      <c r="K15" s="44" t="s">
        <v>22</v>
      </c>
      <c r="L15" s="45">
        <v>1</v>
      </c>
      <c r="M15" s="29" t="s">
        <v>135</v>
      </c>
      <c r="N15" s="29" t="s">
        <v>92</v>
      </c>
      <c r="O15" s="46" t="s">
        <v>32</v>
      </c>
      <c r="P15" s="40" t="s">
        <v>142</v>
      </c>
    </row>
    <row r="16" spans="1:16" x14ac:dyDescent="0.25">
      <c r="A16" s="21" t="s">
        <v>143</v>
      </c>
      <c r="B16" s="31" t="s">
        <v>88</v>
      </c>
      <c r="C16" s="22" t="s">
        <v>46</v>
      </c>
      <c r="D16" s="31" t="s">
        <v>144</v>
      </c>
      <c r="E16" s="24" t="s">
        <v>141</v>
      </c>
      <c r="F16" s="32">
        <v>7</v>
      </c>
      <c r="G16" s="33">
        <v>7.5</v>
      </c>
      <c r="H16" s="34">
        <v>8.5</v>
      </c>
      <c r="I16" s="35">
        <v>0.5</v>
      </c>
      <c r="J16" s="36" t="s">
        <v>108</v>
      </c>
      <c r="K16" s="37" t="s">
        <v>22</v>
      </c>
      <c r="L16" s="38">
        <v>1</v>
      </c>
      <c r="M16" s="24" t="s">
        <v>139</v>
      </c>
      <c r="N16" s="24" t="s">
        <v>92</v>
      </c>
      <c r="O16" s="39" t="s">
        <v>32</v>
      </c>
      <c r="P16" s="31" t="s">
        <v>145</v>
      </c>
    </row>
    <row r="17" spans="1:16" x14ac:dyDescent="0.25">
      <c r="A17" s="27" t="s">
        <v>146</v>
      </c>
      <c r="B17" s="40" t="s">
        <v>88</v>
      </c>
      <c r="C17" s="28" t="s">
        <v>46</v>
      </c>
      <c r="D17" s="40" t="s">
        <v>147</v>
      </c>
      <c r="E17" s="29" t="s">
        <v>141</v>
      </c>
      <c r="F17" s="41">
        <v>7.5</v>
      </c>
      <c r="G17" s="33">
        <v>7.75</v>
      </c>
      <c r="H17" s="34">
        <v>8.75</v>
      </c>
      <c r="I17" s="42">
        <v>0.25</v>
      </c>
      <c r="J17" s="43" t="s">
        <v>108</v>
      </c>
      <c r="K17" s="44" t="s">
        <v>22</v>
      </c>
      <c r="L17" s="45">
        <v>1</v>
      </c>
      <c r="M17" s="29" t="s">
        <v>143</v>
      </c>
      <c r="N17" s="29" t="s">
        <v>92</v>
      </c>
      <c r="O17" s="46" t="s">
        <v>32</v>
      </c>
      <c r="P17" s="40" t="s">
        <v>148</v>
      </c>
    </row>
    <row r="18" spans="1:16" x14ac:dyDescent="0.25">
      <c r="A18" s="21" t="s">
        <v>149</v>
      </c>
      <c r="B18" s="31" t="s">
        <v>88</v>
      </c>
      <c r="C18" s="22" t="s">
        <v>46</v>
      </c>
      <c r="D18" s="31" t="s">
        <v>150</v>
      </c>
      <c r="E18" s="24" t="s">
        <v>141</v>
      </c>
      <c r="F18" s="32">
        <v>7.75</v>
      </c>
      <c r="G18" s="33">
        <v>8</v>
      </c>
      <c r="H18" s="34">
        <v>9</v>
      </c>
      <c r="I18" s="35">
        <v>0.25</v>
      </c>
      <c r="J18" s="36" t="s">
        <v>108</v>
      </c>
      <c r="K18" s="37" t="s">
        <v>22</v>
      </c>
      <c r="L18" s="38">
        <v>1</v>
      </c>
      <c r="M18" s="24" t="s">
        <v>146</v>
      </c>
      <c r="N18" s="24" t="s">
        <v>92</v>
      </c>
      <c r="O18" s="39" t="s">
        <v>32</v>
      </c>
      <c r="P18" s="31" t="s">
        <v>151</v>
      </c>
    </row>
    <row r="19" spans="1:16" x14ac:dyDescent="0.25">
      <c r="A19" s="27" t="s">
        <v>152</v>
      </c>
      <c r="B19" s="40" t="s">
        <v>153</v>
      </c>
      <c r="C19" s="28" t="s">
        <v>46</v>
      </c>
      <c r="D19" s="40" t="s">
        <v>154</v>
      </c>
      <c r="E19" s="29" t="s">
        <v>141</v>
      </c>
      <c r="F19" s="41">
        <v>8</v>
      </c>
      <c r="G19" s="33">
        <v>8.25</v>
      </c>
      <c r="H19" s="34">
        <v>9.25</v>
      </c>
      <c r="I19" s="42">
        <v>0.25</v>
      </c>
      <c r="J19" s="43" t="s">
        <v>91</v>
      </c>
      <c r="K19" s="44" t="s">
        <v>22</v>
      </c>
      <c r="L19" s="45">
        <v>1</v>
      </c>
      <c r="M19" s="29" t="s">
        <v>149</v>
      </c>
      <c r="N19" s="29" t="s">
        <v>92</v>
      </c>
      <c r="O19" s="46" t="s">
        <v>32</v>
      </c>
      <c r="P19" s="40" t="s">
        <v>155</v>
      </c>
    </row>
    <row r="20" spans="1:16" x14ac:dyDescent="0.25">
      <c r="A20" s="21" t="s">
        <v>156</v>
      </c>
      <c r="B20" s="31" t="s">
        <v>153</v>
      </c>
      <c r="C20" s="22" t="s">
        <v>46</v>
      </c>
      <c r="D20" s="31" t="s">
        <v>157</v>
      </c>
      <c r="E20" s="24" t="s">
        <v>141</v>
      </c>
      <c r="F20" s="32">
        <v>8.25</v>
      </c>
      <c r="G20" s="33">
        <v>8.5</v>
      </c>
      <c r="H20" s="34">
        <v>9.5</v>
      </c>
      <c r="I20" s="35">
        <v>0.25</v>
      </c>
      <c r="J20" s="36" t="s">
        <v>158</v>
      </c>
      <c r="K20" s="37" t="s">
        <v>22</v>
      </c>
      <c r="L20" s="38">
        <v>1</v>
      </c>
      <c r="M20" s="24" t="s">
        <v>152</v>
      </c>
      <c r="N20" s="24" t="s">
        <v>92</v>
      </c>
      <c r="O20" s="39" t="s">
        <v>32</v>
      </c>
      <c r="P20" s="31" t="s">
        <v>159</v>
      </c>
    </row>
    <row r="21" spans="1:16" x14ac:dyDescent="0.25">
      <c r="A21" s="27" t="s">
        <v>160</v>
      </c>
      <c r="B21" s="40" t="s">
        <v>153</v>
      </c>
      <c r="C21" s="28" t="s">
        <v>46</v>
      </c>
      <c r="D21" s="40" t="s">
        <v>161</v>
      </c>
      <c r="E21" s="29" t="s">
        <v>141</v>
      </c>
      <c r="F21" s="41">
        <v>8.5</v>
      </c>
      <c r="G21" s="33">
        <v>8.75</v>
      </c>
      <c r="H21" s="34">
        <v>9.75</v>
      </c>
      <c r="I21" s="42">
        <v>0.25</v>
      </c>
      <c r="J21" s="43" t="s">
        <v>108</v>
      </c>
      <c r="K21" s="44" t="s">
        <v>22</v>
      </c>
      <c r="L21" s="45">
        <v>1</v>
      </c>
      <c r="M21" s="29" t="s">
        <v>156</v>
      </c>
      <c r="N21" s="29" t="s">
        <v>92</v>
      </c>
      <c r="O21" s="46" t="s">
        <v>32</v>
      </c>
      <c r="P21" s="40" t="s">
        <v>162</v>
      </c>
    </row>
    <row r="22" spans="1:16" x14ac:dyDescent="0.25">
      <c r="A22" s="21" t="s">
        <v>163</v>
      </c>
      <c r="B22" s="31" t="s">
        <v>153</v>
      </c>
      <c r="C22" s="22" t="s">
        <v>46</v>
      </c>
      <c r="D22" s="31" t="s">
        <v>164</v>
      </c>
      <c r="E22" s="24" t="s">
        <v>141</v>
      </c>
      <c r="F22" s="32">
        <v>8.75</v>
      </c>
      <c r="G22" s="33">
        <v>9</v>
      </c>
      <c r="H22" s="34">
        <v>10</v>
      </c>
      <c r="I22" s="35">
        <v>0.25</v>
      </c>
      <c r="J22" s="36" t="s">
        <v>158</v>
      </c>
      <c r="K22" s="37" t="s">
        <v>22</v>
      </c>
      <c r="L22" s="38">
        <v>1</v>
      </c>
      <c r="M22" s="24" t="s">
        <v>160</v>
      </c>
      <c r="N22" s="24" t="s">
        <v>92</v>
      </c>
      <c r="O22" s="39" t="s">
        <v>32</v>
      </c>
      <c r="P22" s="31" t="s">
        <v>165</v>
      </c>
    </row>
    <row r="23" spans="1:16" x14ac:dyDescent="0.25">
      <c r="A23" s="27" t="s">
        <v>166</v>
      </c>
      <c r="B23" s="40" t="s">
        <v>153</v>
      </c>
      <c r="C23" s="28" t="s">
        <v>46</v>
      </c>
      <c r="D23" s="40" t="s">
        <v>167</v>
      </c>
      <c r="E23" s="29" t="s">
        <v>141</v>
      </c>
      <c r="F23" s="41">
        <v>9</v>
      </c>
      <c r="G23" s="33">
        <v>9.25</v>
      </c>
      <c r="H23" s="34">
        <v>10.25</v>
      </c>
      <c r="I23" s="42">
        <v>0.25</v>
      </c>
      <c r="J23" s="43" t="s">
        <v>158</v>
      </c>
      <c r="K23" s="44" t="s">
        <v>22</v>
      </c>
      <c r="L23" s="45">
        <v>1</v>
      </c>
      <c r="M23" s="29" t="s">
        <v>163</v>
      </c>
      <c r="N23" s="29" t="s">
        <v>92</v>
      </c>
      <c r="O23" s="46" t="s">
        <v>32</v>
      </c>
      <c r="P23" s="40" t="s">
        <v>168</v>
      </c>
    </row>
    <row r="24" spans="1:16" x14ac:dyDescent="0.25">
      <c r="A24" s="21" t="s">
        <v>169</v>
      </c>
      <c r="B24" s="31" t="s">
        <v>153</v>
      </c>
      <c r="C24" s="22" t="s">
        <v>41</v>
      </c>
      <c r="D24" s="31" t="s">
        <v>170</v>
      </c>
      <c r="E24" s="24" t="s">
        <v>141</v>
      </c>
      <c r="F24" s="32">
        <v>9.25</v>
      </c>
      <c r="G24" s="33">
        <v>9.75</v>
      </c>
      <c r="H24" s="34">
        <v>10.75</v>
      </c>
      <c r="I24" s="35">
        <v>0.5</v>
      </c>
      <c r="J24" s="36" t="s">
        <v>91</v>
      </c>
      <c r="K24" s="37" t="s">
        <v>22</v>
      </c>
      <c r="L24" s="38">
        <v>1</v>
      </c>
      <c r="M24" s="24" t="s">
        <v>166</v>
      </c>
      <c r="N24" s="24" t="s">
        <v>92</v>
      </c>
      <c r="O24" s="39" t="s">
        <v>32</v>
      </c>
      <c r="P24" s="31" t="s">
        <v>171</v>
      </c>
    </row>
    <row r="25" spans="1:16" x14ac:dyDescent="0.25">
      <c r="A25" s="27" t="s">
        <v>172</v>
      </c>
      <c r="B25" s="40" t="s">
        <v>153</v>
      </c>
      <c r="C25" s="28" t="s">
        <v>41</v>
      </c>
      <c r="D25" s="40" t="s">
        <v>173</v>
      </c>
      <c r="E25" s="29" t="s">
        <v>141</v>
      </c>
      <c r="F25" s="41">
        <v>9.75</v>
      </c>
      <c r="G25" s="33">
        <v>10.25</v>
      </c>
      <c r="H25" s="34">
        <v>11.25</v>
      </c>
      <c r="I25" s="42">
        <v>0.5</v>
      </c>
      <c r="J25" s="43" t="s">
        <v>91</v>
      </c>
      <c r="K25" s="44" t="s">
        <v>22</v>
      </c>
      <c r="L25" s="45">
        <v>1</v>
      </c>
      <c r="M25" s="29" t="s">
        <v>169</v>
      </c>
      <c r="N25" s="29" t="s">
        <v>92</v>
      </c>
      <c r="O25" s="46" t="s">
        <v>32</v>
      </c>
      <c r="P25" s="40" t="s">
        <v>174</v>
      </c>
    </row>
    <row r="26" spans="1:16" x14ac:dyDescent="0.25">
      <c r="A26" s="21" t="s">
        <v>175</v>
      </c>
      <c r="B26" s="31" t="s">
        <v>153</v>
      </c>
      <c r="C26" s="22" t="s">
        <v>41</v>
      </c>
      <c r="D26" s="31" t="s">
        <v>176</v>
      </c>
      <c r="E26" s="24" t="s">
        <v>141</v>
      </c>
      <c r="F26" s="32">
        <v>10.25</v>
      </c>
      <c r="G26" s="33">
        <v>10.5</v>
      </c>
      <c r="H26" s="34">
        <v>11.5</v>
      </c>
      <c r="I26" s="35">
        <v>0.25</v>
      </c>
      <c r="J26" s="36" t="s">
        <v>91</v>
      </c>
      <c r="K26" s="37" t="s">
        <v>22</v>
      </c>
      <c r="L26" s="38">
        <v>1</v>
      </c>
      <c r="M26" s="24" t="s">
        <v>172</v>
      </c>
      <c r="N26" s="24" t="s">
        <v>92</v>
      </c>
      <c r="O26" s="39" t="s">
        <v>32</v>
      </c>
      <c r="P26" s="31" t="s">
        <v>177</v>
      </c>
    </row>
    <row r="27" spans="1:16" x14ac:dyDescent="0.25">
      <c r="A27" s="27" t="s">
        <v>178</v>
      </c>
      <c r="B27" s="40" t="s">
        <v>153</v>
      </c>
      <c r="C27" s="28" t="s">
        <v>41</v>
      </c>
      <c r="D27" s="40" t="s">
        <v>179</v>
      </c>
      <c r="E27" s="29" t="s">
        <v>141</v>
      </c>
      <c r="F27" s="41">
        <v>10.5</v>
      </c>
      <c r="G27" s="33">
        <v>10.75</v>
      </c>
      <c r="H27" s="34">
        <v>11.75</v>
      </c>
      <c r="I27" s="42">
        <v>0.25</v>
      </c>
      <c r="J27" s="43" t="s">
        <v>91</v>
      </c>
      <c r="K27" s="44" t="s">
        <v>22</v>
      </c>
      <c r="L27" s="45">
        <v>1</v>
      </c>
      <c r="M27" s="29" t="s">
        <v>175</v>
      </c>
      <c r="N27" s="29" t="s">
        <v>92</v>
      </c>
      <c r="O27" s="46" t="s">
        <v>32</v>
      </c>
      <c r="P27" s="40" t="s">
        <v>180</v>
      </c>
    </row>
    <row r="28" spans="1:16" x14ac:dyDescent="0.25">
      <c r="A28" s="21" t="s">
        <v>181</v>
      </c>
      <c r="B28" s="31" t="s">
        <v>153</v>
      </c>
      <c r="C28" s="22" t="s">
        <v>41</v>
      </c>
      <c r="D28" s="31" t="s">
        <v>182</v>
      </c>
      <c r="E28" s="24" t="s">
        <v>141</v>
      </c>
      <c r="F28" s="32">
        <v>10.75</v>
      </c>
      <c r="G28" s="33">
        <v>11</v>
      </c>
      <c r="H28" s="34">
        <v>12</v>
      </c>
      <c r="I28" s="35">
        <v>0.25</v>
      </c>
      <c r="J28" s="36" t="s">
        <v>108</v>
      </c>
      <c r="K28" s="37" t="s">
        <v>22</v>
      </c>
      <c r="L28" s="38">
        <v>1</v>
      </c>
      <c r="M28" s="24" t="s">
        <v>178</v>
      </c>
      <c r="N28" s="24" t="s">
        <v>92</v>
      </c>
      <c r="O28" s="39" t="s">
        <v>32</v>
      </c>
      <c r="P28" s="31" t="s">
        <v>183</v>
      </c>
    </row>
    <row r="29" spans="1:16" x14ac:dyDescent="0.25">
      <c r="A29" s="27" t="s">
        <v>184</v>
      </c>
      <c r="B29" s="40" t="s">
        <v>153</v>
      </c>
      <c r="C29" s="28" t="s">
        <v>41</v>
      </c>
      <c r="D29" s="40" t="s">
        <v>185</v>
      </c>
      <c r="E29" s="29" t="s">
        <v>141</v>
      </c>
      <c r="F29" s="41">
        <v>11</v>
      </c>
      <c r="G29" s="33">
        <v>11.25</v>
      </c>
      <c r="H29" s="34">
        <v>12.25</v>
      </c>
      <c r="I29" s="42">
        <v>0.25</v>
      </c>
      <c r="J29" s="43" t="s">
        <v>158</v>
      </c>
      <c r="K29" s="44" t="s">
        <v>22</v>
      </c>
      <c r="L29" s="45">
        <v>1</v>
      </c>
      <c r="M29" s="29" t="s">
        <v>181</v>
      </c>
      <c r="N29" s="29" t="s">
        <v>92</v>
      </c>
      <c r="O29" s="46" t="s">
        <v>32</v>
      </c>
      <c r="P29" s="40" t="s">
        <v>186</v>
      </c>
    </row>
    <row r="30" spans="1:16" x14ac:dyDescent="0.25">
      <c r="A30" s="21" t="s">
        <v>187</v>
      </c>
      <c r="B30" s="31" t="s">
        <v>153</v>
      </c>
      <c r="C30" s="22" t="s">
        <v>41</v>
      </c>
      <c r="D30" s="31" t="s">
        <v>188</v>
      </c>
      <c r="E30" s="24" t="s">
        <v>141</v>
      </c>
      <c r="F30" s="32">
        <v>11.25</v>
      </c>
      <c r="G30" s="33">
        <v>11.5</v>
      </c>
      <c r="H30" s="34">
        <v>12.5</v>
      </c>
      <c r="I30" s="35">
        <v>0.25</v>
      </c>
      <c r="J30" s="36" t="s">
        <v>108</v>
      </c>
      <c r="K30" s="37" t="s">
        <v>22</v>
      </c>
      <c r="L30" s="38">
        <v>1</v>
      </c>
      <c r="M30" s="24" t="s">
        <v>184</v>
      </c>
      <c r="N30" s="24" t="s">
        <v>92</v>
      </c>
      <c r="O30" s="39" t="s">
        <v>32</v>
      </c>
      <c r="P30" s="31" t="s">
        <v>189</v>
      </c>
    </row>
    <row r="31" spans="1:16" x14ac:dyDescent="0.25">
      <c r="A31" s="27" t="s">
        <v>190</v>
      </c>
      <c r="B31" s="40" t="s">
        <v>153</v>
      </c>
      <c r="C31" s="28" t="s">
        <v>41</v>
      </c>
      <c r="D31" s="40" t="s">
        <v>191</v>
      </c>
      <c r="E31" s="29" t="s">
        <v>141</v>
      </c>
      <c r="F31" s="41">
        <v>11.5</v>
      </c>
      <c r="G31" s="33">
        <v>11.75</v>
      </c>
      <c r="H31" s="34">
        <v>12.75</v>
      </c>
      <c r="I31" s="42">
        <v>0.25</v>
      </c>
      <c r="J31" s="43" t="s">
        <v>158</v>
      </c>
      <c r="K31" s="44" t="s">
        <v>22</v>
      </c>
      <c r="L31" s="45">
        <v>1</v>
      </c>
      <c r="M31" s="29" t="s">
        <v>187</v>
      </c>
      <c r="N31" s="29" t="s">
        <v>92</v>
      </c>
      <c r="O31" s="46" t="s">
        <v>32</v>
      </c>
      <c r="P31" s="40" t="s">
        <v>192</v>
      </c>
    </row>
    <row r="32" spans="1:16" x14ac:dyDescent="0.25">
      <c r="A32" s="21" t="s">
        <v>193</v>
      </c>
      <c r="B32" s="31" t="s">
        <v>153</v>
      </c>
      <c r="C32" s="22" t="s">
        <v>29</v>
      </c>
      <c r="D32" s="31" t="s">
        <v>194</v>
      </c>
      <c r="E32" s="24" t="s">
        <v>195</v>
      </c>
      <c r="F32" s="32">
        <v>11.75</v>
      </c>
      <c r="G32" s="33">
        <v>12</v>
      </c>
      <c r="H32" s="34">
        <v>13</v>
      </c>
      <c r="I32" s="35">
        <v>0.25</v>
      </c>
      <c r="J32" s="36" t="s">
        <v>91</v>
      </c>
      <c r="K32" s="37" t="s">
        <v>22</v>
      </c>
      <c r="L32" s="38">
        <v>1</v>
      </c>
      <c r="M32" s="24" t="s">
        <v>190</v>
      </c>
      <c r="N32" s="24" t="s">
        <v>92</v>
      </c>
      <c r="O32" s="39" t="s">
        <v>32</v>
      </c>
      <c r="P32" s="31" t="s">
        <v>196</v>
      </c>
    </row>
    <row r="33" spans="1:16" x14ac:dyDescent="0.25">
      <c r="A33" s="27" t="s">
        <v>197</v>
      </c>
      <c r="B33" s="40" t="s">
        <v>153</v>
      </c>
      <c r="C33" s="28" t="s">
        <v>29</v>
      </c>
      <c r="D33" s="40" t="s">
        <v>198</v>
      </c>
      <c r="E33" s="29" t="s">
        <v>195</v>
      </c>
      <c r="F33" s="41">
        <v>12</v>
      </c>
      <c r="G33" s="33">
        <v>12.5</v>
      </c>
      <c r="H33" s="34">
        <v>13.5</v>
      </c>
      <c r="I33" s="42">
        <v>0.5</v>
      </c>
      <c r="J33" s="43" t="s">
        <v>91</v>
      </c>
      <c r="K33" s="44" t="s">
        <v>22</v>
      </c>
      <c r="L33" s="45">
        <v>1</v>
      </c>
      <c r="M33" s="29" t="s">
        <v>193</v>
      </c>
      <c r="N33" s="29" t="s">
        <v>92</v>
      </c>
      <c r="O33" s="46" t="s">
        <v>32</v>
      </c>
      <c r="P33" s="40" t="s">
        <v>199</v>
      </c>
    </row>
    <row r="34" spans="1:16" x14ac:dyDescent="0.25">
      <c r="A34" s="21" t="s">
        <v>200</v>
      </c>
      <c r="B34" s="31" t="s">
        <v>153</v>
      </c>
      <c r="C34" s="22" t="s">
        <v>29</v>
      </c>
      <c r="D34" s="31" t="s">
        <v>201</v>
      </c>
      <c r="E34" s="24" t="s">
        <v>195</v>
      </c>
      <c r="F34" s="32">
        <v>12.5</v>
      </c>
      <c r="G34" s="33">
        <v>13</v>
      </c>
      <c r="H34" s="34">
        <v>14</v>
      </c>
      <c r="I34" s="35">
        <v>0.5</v>
      </c>
      <c r="J34" s="36" t="s">
        <v>91</v>
      </c>
      <c r="K34" s="37" t="s">
        <v>22</v>
      </c>
      <c r="L34" s="38">
        <v>1</v>
      </c>
      <c r="M34" s="24" t="s">
        <v>197</v>
      </c>
      <c r="N34" s="24" t="s">
        <v>92</v>
      </c>
      <c r="O34" s="39" t="s">
        <v>32</v>
      </c>
      <c r="P34" s="31" t="s">
        <v>202</v>
      </c>
    </row>
    <row r="35" spans="1:16" x14ac:dyDescent="0.25">
      <c r="A35" s="27" t="s">
        <v>203</v>
      </c>
      <c r="B35" s="40" t="s">
        <v>153</v>
      </c>
      <c r="C35" s="28" t="s">
        <v>29</v>
      </c>
      <c r="D35" s="40" t="s">
        <v>204</v>
      </c>
      <c r="E35" s="29" t="s">
        <v>195</v>
      </c>
      <c r="F35" s="41">
        <v>13</v>
      </c>
      <c r="G35" s="33">
        <v>13.25</v>
      </c>
      <c r="H35" s="34">
        <v>14.5</v>
      </c>
      <c r="I35" s="42">
        <v>0.25</v>
      </c>
      <c r="J35" s="43" t="s">
        <v>91</v>
      </c>
      <c r="K35" s="44" t="s">
        <v>22</v>
      </c>
      <c r="L35" s="45">
        <v>1</v>
      </c>
      <c r="M35" s="29" t="s">
        <v>200</v>
      </c>
      <c r="N35" s="29" t="s">
        <v>92</v>
      </c>
      <c r="O35" s="46" t="s">
        <v>32</v>
      </c>
      <c r="P35" s="40" t="s">
        <v>205</v>
      </c>
    </row>
    <row r="36" spans="1:16" x14ac:dyDescent="0.25">
      <c r="A36" s="21" t="s">
        <v>206</v>
      </c>
      <c r="B36" s="31" t="s">
        <v>207</v>
      </c>
      <c r="C36" s="22" t="s">
        <v>29</v>
      </c>
      <c r="D36" s="31" t="s">
        <v>208</v>
      </c>
      <c r="E36" s="24" t="s">
        <v>195</v>
      </c>
      <c r="F36" s="32">
        <v>13.25</v>
      </c>
      <c r="G36" s="33">
        <v>13.5</v>
      </c>
      <c r="H36" s="34">
        <v>14.75</v>
      </c>
      <c r="I36" s="35">
        <v>0.25</v>
      </c>
      <c r="J36" s="36" t="s">
        <v>108</v>
      </c>
      <c r="K36" s="37" t="s">
        <v>22</v>
      </c>
      <c r="L36" s="38">
        <v>1</v>
      </c>
      <c r="M36" s="24" t="s">
        <v>203</v>
      </c>
      <c r="N36" s="24" t="s">
        <v>92</v>
      </c>
      <c r="O36" s="39" t="s">
        <v>32</v>
      </c>
      <c r="P36" s="31" t="s">
        <v>209</v>
      </c>
    </row>
    <row r="37" spans="1:16" x14ac:dyDescent="0.25">
      <c r="A37" s="27" t="s">
        <v>210</v>
      </c>
      <c r="B37" s="40" t="s">
        <v>207</v>
      </c>
      <c r="C37" s="28" t="s">
        <v>36</v>
      </c>
      <c r="D37" s="40" t="s">
        <v>211</v>
      </c>
      <c r="E37" s="29" t="s">
        <v>195</v>
      </c>
      <c r="F37" s="41">
        <v>13.5</v>
      </c>
      <c r="G37" s="33">
        <v>13.75</v>
      </c>
      <c r="H37" s="34">
        <v>15.25</v>
      </c>
      <c r="I37" s="42">
        <v>0.25</v>
      </c>
      <c r="J37" s="43" t="s">
        <v>91</v>
      </c>
      <c r="K37" s="44" t="s">
        <v>22</v>
      </c>
      <c r="L37" s="45">
        <v>1</v>
      </c>
      <c r="M37" s="29" t="s">
        <v>206</v>
      </c>
      <c r="N37" s="29" t="s">
        <v>92</v>
      </c>
      <c r="O37" s="46" t="s">
        <v>32</v>
      </c>
      <c r="P37" s="40" t="s">
        <v>212</v>
      </c>
    </row>
    <row r="38" spans="1:16" x14ac:dyDescent="0.25">
      <c r="A38" s="21" t="s">
        <v>213</v>
      </c>
      <c r="B38" s="31" t="s">
        <v>207</v>
      </c>
      <c r="C38" s="22" t="s">
        <v>36</v>
      </c>
      <c r="D38" s="31" t="s">
        <v>214</v>
      </c>
      <c r="E38" s="24" t="s">
        <v>195</v>
      </c>
      <c r="F38" s="32">
        <v>13.75</v>
      </c>
      <c r="G38" s="33">
        <v>14</v>
      </c>
      <c r="H38" s="34">
        <v>15.75</v>
      </c>
      <c r="I38" s="35">
        <v>0.25</v>
      </c>
      <c r="J38" s="36" t="s">
        <v>91</v>
      </c>
      <c r="K38" s="37" t="s">
        <v>22</v>
      </c>
      <c r="L38" s="38">
        <v>1</v>
      </c>
      <c r="M38" s="24" t="s">
        <v>210</v>
      </c>
      <c r="N38" s="24" t="s">
        <v>92</v>
      </c>
      <c r="O38" s="39" t="s">
        <v>32</v>
      </c>
      <c r="P38" s="31" t="s">
        <v>215</v>
      </c>
    </row>
    <row r="39" spans="1:16" x14ac:dyDescent="0.25">
      <c r="A39" s="27" t="s">
        <v>216</v>
      </c>
      <c r="B39" s="40" t="s">
        <v>207</v>
      </c>
      <c r="C39" s="28" t="s">
        <v>36</v>
      </c>
      <c r="D39" s="40" t="s">
        <v>217</v>
      </c>
      <c r="E39" s="29" t="s">
        <v>195</v>
      </c>
      <c r="F39" s="41">
        <v>14</v>
      </c>
      <c r="G39" s="33">
        <v>14.25</v>
      </c>
      <c r="H39" s="34">
        <v>16.25</v>
      </c>
      <c r="I39" s="42">
        <v>0.5</v>
      </c>
      <c r="J39" s="43" t="s">
        <v>91</v>
      </c>
      <c r="K39" s="44" t="s">
        <v>22</v>
      </c>
      <c r="L39" s="45">
        <v>1</v>
      </c>
      <c r="M39" s="29" t="s">
        <v>213</v>
      </c>
      <c r="N39" s="29" t="s">
        <v>92</v>
      </c>
      <c r="O39" s="46" t="s">
        <v>32</v>
      </c>
      <c r="P39" s="40" t="s">
        <v>218</v>
      </c>
    </row>
    <row r="40" spans="1:16" x14ac:dyDescent="0.25">
      <c r="A40" s="21" t="s">
        <v>219</v>
      </c>
      <c r="B40" s="31" t="s">
        <v>207</v>
      </c>
      <c r="C40" s="22" t="s">
        <v>36</v>
      </c>
      <c r="D40" s="31" t="s">
        <v>220</v>
      </c>
      <c r="E40" s="24" t="s">
        <v>195</v>
      </c>
      <c r="F40" s="32">
        <v>14.5</v>
      </c>
      <c r="G40" s="33">
        <v>14.5</v>
      </c>
      <c r="H40" s="34">
        <v>16.75</v>
      </c>
      <c r="I40" s="35">
        <v>0.25</v>
      </c>
      <c r="J40" s="36" t="s">
        <v>91</v>
      </c>
      <c r="K40" s="37" t="s">
        <v>22</v>
      </c>
      <c r="L40" s="38">
        <v>1</v>
      </c>
      <c r="M40" s="24" t="s">
        <v>216</v>
      </c>
      <c r="N40" s="24" t="s">
        <v>92</v>
      </c>
      <c r="O40" s="39" t="s">
        <v>32</v>
      </c>
      <c r="P40" s="31" t="s">
        <v>221</v>
      </c>
    </row>
    <row r="41" spans="1:16" x14ac:dyDescent="0.25">
      <c r="A41" s="27" t="s">
        <v>222</v>
      </c>
      <c r="B41" s="40" t="s">
        <v>207</v>
      </c>
      <c r="C41" s="28" t="s">
        <v>36</v>
      </c>
      <c r="D41" s="40" t="s">
        <v>223</v>
      </c>
      <c r="E41" s="29" t="s">
        <v>195</v>
      </c>
      <c r="F41" s="41">
        <v>14.75</v>
      </c>
      <c r="G41" s="33">
        <v>14.75</v>
      </c>
      <c r="H41" s="34">
        <v>17.25</v>
      </c>
      <c r="I41" s="42">
        <v>0.25</v>
      </c>
      <c r="J41" s="43" t="s">
        <v>91</v>
      </c>
      <c r="K41" s="44" t="s">
        <v>22</v>
      </c>
      <c r="L41" s="45">
        <v>1</v>
      </c>
      <c r="M41" s="29" t="s">
        <v>219</v>
      </c>
      <c r="N41" s="29" t="s">
        <v>92</v>
      </c>
      <c r="O41" s="46" t="s">
        <v>32</v>
      </c>
      <c r="P41" s="40" t="s">
        <v>224</v>
      </c>
    </row>
    <row r="42" spans="1:16" x14ac:dyDescent="0.25">
      <c r="A42" s="21" t="s">
        <v>225</v>
      </c>
      <c r="B42" s="31" t="s">
        <v>207</v>
      </c>
      <c r="C42" s="22" t="s">
        <v>36</v>
      </c>
      <c r="D42" s="31" t="s">
        <v>226</v>
      </c>
      <c r="E42" s="24" t="s">
        <v>195</v>
      </c>
      <c r="F42" s="32">
        <v>15</v>
      </c>
      <c r="G42" s="33">
        <v>15</v>
      </c>
      <c r="H42" s="34">
        <v>17.75</v>
      </c>
      <c r="I42" s="35">
        <v>0.25</v>
      </c>
      <c r="J42" s="36" t="s">
        <v>108</v>
      </c>
      <c r="K42" s="37" t="s">
        <v>22</v>
      </c>
      <c r="L42" s="38">
        <v>1</v>
      </c>
      <c r="M42" s="24" t="s">
        <v>222</v>
      </c>
      <c r="N42" s="24" t="s">
        <v>92</v>
      </c>
      <c r="O42" s="39" t="s">
        <v>32</v>
      </c>
      <c r="P42" s="31" t="s">
        <v>227</v>
      </c>
    </row>
    <row r="43" spans="1:16" x14ac:dyDescent="0.25">
      <c r="A43" s="27" t="s">
        <v>228</v>
      </c>
      <c r="B43" s="40" t="s">
        <v>207</v>
      </c>
      <c r="C43" s="28" t="s">
        <v>41</v>
      </c>
      <c r="D43" s="40" t="s">
        <v>229</v>
      </c>
      <c r="E43" s="29" t="s">
        <v>195</v>
      </c>
      <c r="F43" s="41">
        <v>15.25</v>
      </c>
      <c r="G43" s="33">
        <v>15.25</v>
      </c>
      <c r="H43" s="34">
        <v>18.25</v>
      </c>
      <c r="I43" s="42">
        <v>0.25</v>
      </c>
      <c r="J43" s="43" t="s">
        <v>108</v>
      </c>
      <c r="K43" s="44" t="s">
        <v>22</v>
      </c>
      <c r="L43" s="45">
        <v>1</v>
      </c>
      <c r="M43" s="29" t="s">
        <v>225</v>
      </c>
      <c r="N43" s="29" t="s">
        <v>92</v>
      </c>
      <c r="O43" s="46" t="s">
        <v>32</v>
      </c>
      <c r="P43" s="40" t="s">
        <v>230</v>
      </c>
    </row>
    <row r="44" spans="1:16" x14ac:dyDescent="0.25">
      <c r="A44" s="21" t="s">
        <v>231</v>
      </c>
      <c r="B44" s="31" t="s">
        <v>207</v>
      </c>
      <c r="C44" s="22" t="s">
        <v>59</v>
      </c>
      <c r="D44" s="31" t="s">
        <v>232</v>
      </c>
      <c r="E44" s="24" t="s">
        <v>233</v>
      </c>
      <c r="F44" s="32">
        <v>15.5</v>
      </c>
      <c r="G44" s="33">
        <v>15.5</v>
      </c>
      <c r="H44" s="34">
        <v>19</v>
      </c>
      <c r="I44" s="35">
        <v>0.5</v>
      </c>
      <c r="J44" s="36" t="s">
        <v>91</v>
      </c>
      <c r="K44" s="37" t="s">
        <v>22</v>
      </c>
      <c r="L44" s="38">
        <v>1</v>
      </c>
      <c r="M44" s="24" t="s">
        <v>228</v>
      </c>
      <c r="N44" s="24" t="s">
        <v>92</v>
      </c>
      <c r="O44" s="39" t="s">
        <v>32</v>
      </c>
      <c r="P44" s="31" t="s">
        <v>234</v>
      </c>
    </row>
    <row r="45" spans="1:16" x14ac:dyDescent="0.25">
      <c r="A45" s="27" t="s">
        <v>235</v>
      </c>
      <c r="B45" s="40" t="s">
        <v>207</v>
      </c>
      <c r="C45" s="28" t="s">
        <v>59</v>
      </c>
      <c r="D45" s="40" t="s">
        <v>236</v>
      </c>
      <c r="E45" s="29" t="s">
        <v>233</v>
      </c>
      <c r="F45" s="41">
        <v>16</v>
      </c>
      <c r="G45" s="33">
        <v>16</v>
      </c>
      <c r="H45" s="34">
        <v>20</v>
      </c>
      <c r="I45" s="42">
        <v>0.5</v>
      </c>
      <c r="J45" s="43" t="s">
        <v>91</v>
      </c>
      <c r="K45" s="44" t="s">
        <v>22</v>
      </c>
      <c r="L45" s="45">
        <v>1</v>
      </c>
      <c r="M45" s="29" t="s">
        <v>231</v>
      </c>
      <c r="N45" s="29" t="s">
        <v>92</v>
      </c>
      <c r="O45" s="46" t="s">
        <v>32</v>
      </c>
      <c r="P45" s="40" t="s">
        <v>237</v>
      </c>
    </row>
    <row r="46" spans="1:16" x14ac:dyDescent="0.25">
      <c r="A46" s="21" t="s">
        <v>238</v>
      </c>
      <c r="B46" s="31" t="s">
        <v>207</v>
      </c>
      <c r="C46" s="22" t="s">
        <v>65</v>
      </c>
      <c r="D46" s="31" t="s">
        <v>239</v>
      </c>
      <c r="E46" s="24" t="s">
        <v>240</v>
      </c>
      <c r="F46" s="32">
        <v>16.5</v>
      </c>
      <c r="G46" s="33">
        <v>16.5</v>
      </c>
      <c r="H46" s="34">
        <v>20.5</v>
      </c>
      <c r="I46" s="35">
        <v>0.5</v>
      </c>
      <c r="J46" s="36" t="s">
        <v>91</v>
      </c>
      <c r="K46" s="37" t="s">
        <v>24</v>
      </c>
      <c r="L46" s="38">
        <v>1</v>
      </c>
      <c r="M46" s="24" t="s">
        <v>235</v>
      </c>
      <c r="N46" s="24" t="s">
        <v>92</v>
      </c>
      <c r="O46" s="39" t="s">
        <v>241</v>
      </c>
      <c r="P46" s="31" t="s">
        <v>242</v>
      </c>
    </row>
  </sheetData>
  <autoFilter ref="A1:P46"/>
  <dataValidations count="6">
    <dataValidation type="list" sqref="J10:J46">
      <formula1>"P0 - Critical,P1 - High,P2 - Medium,P3 - Low"</formula1>
    </dataValidation>
    <dataValidation type="list" sqref="J2:J46">
      <formula1>"P0 - Critical,P1 - High,P2 - Medium,P3 - Low"</formula1>
    </dataValidation>
    <dataValidation type="list" sqref="K10:K46">
      <formula1>"Not Started,In Progress,Implemented,Functional,Tested,Client Approved,Blocked"</formula1>
    </dataValidation>
    <dataValidation type="list" sqref="K2:K46">
      <formula1>"Not Started,In Progress,Implemented,Functional,Tested,Client Approved,Blocked"</formula1>
    </dataValidation>
    <dataValidation type="list" sqref="O10:O46">
      <formula1>"Pending,Under Review,Approved,Rejected"</formula1>
    </dataValidation>
    <dataValidation type="list" sqref="O2:O46">
      <formula1>"Pending,Under Review,Approved,Rejected"</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284C7"/>
  </sheetPr>
  <dimension ref="A1:Z47"/>
  <sheetViews>
    <sheetView workbookViewId="0">
      <pane xSplit="5" ySplit="2" topLeftCell="F3" activePane="bottomRight" state="frozen"/>
      <selection pane="bottomRight"/>
    </sheetView>
  </sheetViews>
  <sheetFormatPr defaultRowHeight="15" outlineLevelRow="0" outlineLevelCol="0" x14ac:dyDescent="55"/>
  <cols>
    <col min="1" max="1" width="12" customWidth="1"/>
    <col min="2" max="2" width="40" customWidth="1"/>
    <col min="3" max="3" width="24" customWidth="1"/>
    <col min="4" max="4" width="18" customWidth="1"/>
    <col min="5" max="5" width="12" customWidth="1"/>
    <col min="6" max="26" width="6.5" customWidth="1"/>
  </cols>
  <sheetData>
    <row r="1" spans="1:26" x14ac:dyDescent="0.25">
      <c r="A1" s="47" t="s">
        <v>243</v>
      </c>
      <c r="B1" s="47"/>
      <c r="C1" s="47"/>
      <c r="D1" s="47"/>
      <c r="E1" s="47"/>
      <c r="F1" s="48" t="s">
        <v>244</v>
      </c>
      <c r="G1" s="48"/>
      <c r="H1" s="48"/>
      <c r="I1" s="48"/>
      <c r="J1" s="48"/>
      <c r="K1" s="48"/>
      <c r="L1" s="48"/>
      <c r="M1" s="49" t="s">
        <v>245</v>
      </c>
      <c r="N1" s="49"/>
      <c r="O1" s="49"/>
      <c r="P1" s="49"/>
      <c r="Q1" s="49"/>
      <c r="R1" s="49"/>
      <c r="S1" s="49"/>
      <c r="T1" s="50" t="s">
        <v>246</v>
      </c>
      <c r="U1" s="50"/>
      <c r="V1" s="50"/>
      <c r="W1" s="50"/>
      <c r="X1" s="50"/>
      <c r="Y1" s="50"/>
      <c r="Z1" s="50"/>
    </row>
    <row r="2" spans="1:26" x14ac:dyDescent="0.25">
      <c r="A2" s="51" t="s">
        <v>247</v>
      </c>
      <c r="B2" s="51" t="s">
        <v>248</v>
      </c>
      <c r="C2" s="51" t="s">
        <v>75</v>
      </c>
      <c r="D2" s="51" t="s">
        <v>249</v>
      </c>
      <c r="E2" s="51" t="s">
        <v>250</v>
      </c>
      <c r="F2" s="52" t="s">
        <v>251</v>
      </c>
      <c r="G2" s="52" t="s">
        <v>252</v>
      </c>
      <c r="H2" s="52" t="s">
        <v>253</v>
      </c>
      <c r="I2" s="52" t="s">
        <v>254</v>
      </c>
      <c r="J2" s="52" t="s">
        <v>255</v>
      </c>
      <c r="K2" s="52" t="s">
        <v>256</v>
      </c>
      <c r="L2" s="52" t="s">
        <v>257</v>
      </c>
      <c r="M2" s="52" t="s">
        <v>258</v>
      </c>
      <c r="N2" s="52" t="s">
        <v>259</v>
      </c>
      <c r="O2" s="52" t="s">
        <v>260</v>
      </c>
      <c r="P2" s="52" t="s">
        <v>261</v>
      </c>
      <c r="Q2" s="52" t="s">
        <v>262</v>
      </c>
      <c r="R2" s="52" t="s">
        <v>263</v>
      </c>
      <c r="S2" s="52" t="s">
        <v>264</v>
      </c>
      <c r="T2" s="53" t="s">
        <v>265</v>
      </c>
      <c r="U2" s="53" t="s">
        <v>266</v>
      </c>
      <c r="V2" s="53" t="s">
        <v>267</v>
      </c>
      <c r="W2" s="53" t="s">
        <v>268</v>
      </c>
      <c r="X2" s="53" t="s">
        <v>269</v>
      </c>
      <c r="Y2" s="53" t="s">
        <v>270</v>
      </c>
      <c r="Z2" s="53" t="s">
        <v>271</v>
      </c>
    </row>
    <row r="3" spans="1:26" x14ac:dyDescent="0.25">
      <c r="A3" s="21" t="s">
        <v>87</v>
      </c>
      <c r="B3" s="31" t="s">
        <v>89</v>
      </c>
      <c r="C3" s="31" t="s">
        <v>50</v>
      </c>
      <c r="D3" s="21" t="s">
        <v>272</v>
      </c>
      <c r="E3" s="21" t="s">
        <v>273</v>
      </c>
      <c r="F3" s="54" t="s">
        <v>274</v>
      </c>
      <c r="G3" s="54" t="s">
        <v>274</v>
      </c>
      <c r="H3" s="55" t="s">
        <v>275</v>
      </c>
      <c r="I3" s="55" t="s">
        <v>275</v>
      </c>
      <c r="J3" s="55" t="s">
        <v>275</v>
      </c>
      <c r="K3" s="55" t="s">
        <v>275</v>
      </c>
      <c r="L3" s="55" t="s">
        <v>275</v>
      </c>
      <c r="M3" s="55" t="s">
        <v>275</v>
      </c>
      <c r="N3" s="55" t="s">
        <v>275</v>
      </c>
      <c r="O3" s="55" t="s">
        <v>275</v>
      </c>
      <c r="P3" s="55" t="s">
        <v>275</v>
      </c>
      <c r="Q3" s="55" t="s">
        <v>275</v>
      </c>
      <c r="R3" s="55" t="s">
        <v>275</v>
      </c>
      <c r="S3" s="55" t="s">
        <v>275</v>
      </c>
      <c r="T3" s="55" t="s">
        <v>275</v>
      </c>
      <c r="U3" s="55" t="s">
        <v>275</v>
      </c>
      <c r="V3" s="55" t="s">
        <v>275</v>
      </c>
      <c r="W3" s="55" t="s">
        <v>275</v>
      </c>
      <c r="X3" s="55" t="s">
        <v>275</v>
      </c>
      <c r="Y3" s="55" t="s">
        <v>275</v>
      </c>
      <c r="Z3" s="55" t="s">
        <v>275</v>
      </c>
    </row>
    <row r="4" spans="1:26" x14ac:dyDescent="0.25">
      <c r="A4" s="27" t="s">
        <v>94</v>
      </c>
      <c r="B4" s="40" t="s">
        <v>95</v>
      </c>
      <c r="C4" s="40" t="s">
        <v>50</v>
      </c>
      <c r="D4" s="27" t="s">
        <v>272</v>
      </c>
      <c r="E4" s="27" t="s">
        <v>273</v>
      </c>
      <c r="F4" s="56" t="s">
        <v>275</v>
      </c>
      <c r="G4" s="54" t="s">
        <v>274</v>
      </c>
      <c r="H4" s="54" t="s">
        <v>274</v>
      </c>
      <c r="I4" s="56" t="s">
        <v>275</v>
      </c>
      <c r="J4" s="56" t="s">
        <v>275</v>
      </c>
      <c r="K4" s="56" t="s">
        <v>275</v>
      </c>
      <c r="L4" s="56" t="s">
        <v>275</v>
      </c>
      <c r="M4" s="56" t="s">
        <v>275</v>
      </c>
      <c r="N4" s="56" t="s">
        <v>275</v>
      </c>
      <c r="O4" s="56" t="s">
        <v>275</v>
      </c>
      <c r="P4" s="56" t="s">
        <v>275</v>
      </c>
      <c r="Q4" s="56" t="s">
        <v>275</v>
      </c>
      <c r="R4" s="56" t="s">
        <v>275</v>
      </c>
      <c r="S4" s="56" t="s">
        <v>275</v>
      </c>
      <c r="T4" s="56" t="s">
        <v>275</v>
      </c>
      <c r="U4" s="56" t="s">
        <v>275</v>
      </c>
      <c r="V4" s="56" t="s">
        <v>275</v>
      </c>
      <c r="W4" s="56" t="s">
        <v>275</v>
      </c>
      <c r="X4" s="56" t="s">
        <v>275</v>
      </c>
      <c r="Y4" s="56" t="s">
        <v>275</v>
      </c>
      <c r="Z4" s="56" t="s">
        <v>275</v>
      </c>
    </row>
    <row r="5" spans="1:26" x14ac:dyDescent="0.25">
      <c r="A5" s="21" t="s">
        <v>98</v>
      </c>
      <c r="B5" s="31" t="s">
        <v>99</v>
      </c>
      <c r="C5" s="31" t="s">
        <v>50</v>
      </c>
      <c r="D5" s="21" t="s">
        <v>272</v>
      </c>
      <c r="E5" s="21" t="s">
        <v>273</v>
      </c>
      <c r="F5" s="55" t="s">
        <v>275</v>
      </c>
      <c r="G5" s="55" t="s">
        <v>275</v>
      </c>
      <c r="H5" s="54" t="s">
        <v>274</v>
      </c>
      <c r="I5" s="54" t="s">
        <v>274</v>
      </c>
      <c r="J5" s="55" t="s">
        <v>275</v>
      </c>
      <c r="K5" s="55" t="s">
        <v>275</v>
      </c>
      <c r="L5" s="55" t="s">
        <v>275</v>
      </c>
      <c r="M5" s="55" t="s">
        <v>275</v>
      </c>
      <c r="N5" s="55" t="s">
        <v>275</v>
      </c>
      <c r="O5" s="55" t="s">
        <v>275</v>
      </c>
      <c r="P5" s="55" t="s">
        <v>275</v>
      </c>
      <c r="Q5" s="55" t="s">
        <v>275</v>
      </c>
      <c r="R5" s="55" t="s">
        <v>275</v>
      </c>
      <c r="S5" s="55" t="s">
        <v>275</v>
      </c>
      <c r="T5" s="55" t="s">
        <v>275</v>
      </c>
      <c r="U5" s="55" t="s">
        <v>275</v>
      </c>
      <c r="V5" s="55" t="s">
        <v>275</v>
      </c>
      <c r="W5" s="55" t="s">
        <v>275</v>
      </c>
      <c r="X5" s="55" t="s">
        <v>275</v>
      </c>
      <c r="Y5" s="55" t="s">
        <v>275</v>
      </c>
      <c r="Z5" s="55" t="s">
        <v>275</v>
      </c>
    </row>
    <row r="6" spans="1:26" x14ac:dyDescent="0.25">
      <c r="A6" s="27" t="s">
        <v>102</v>
      </c>
      <c r="B6" s="40" t="s">
        <v>103</v>
      </c>
      <c r="C6" s="40" t="s">
        <v>50</v>
      </c>
      <c r="D6" s="27" t="s">
        <v>272</v>
      </c>
      <c r="E6" s="27" t="s">
        <v>273</v>
      </c>
      <c r="F6" s="56" t="s">
        <v>275</v>
      </c>
      <c r="G6" s="56" t="s">
        <v>275</v>
      </c>
      <c r="H6" s="54" t="s">
        <v>274</v>
      </c>
      <c r="I6" s="54" t="s">
        <v>274</v>
      </c>
      <c r="J6" s="56" t="s">
        <v>275</v>
      </c>
      <c r="K6" s="56" t="s">
        <v>275</v>
      </c>
      <c r="L6" s="56" t="s">
        <v>275</v>
      </c>
      <c r="M6" s="56" t="s">
        <v>275</v>
      </c>
      <c r="N6" s="56" t="s">
        <v>275</v>
      </c>
      <c r="O6" s="56" t="s">
        <v>275</v>
      </c>
      <c r="P6" s="56" t="s">
        <v>275</v>
      </c>
      <c r="Q6" s="56" t="s">
        <v>275</v>
      </c>
      <c r="R6" s="56" t="s">
        <v>275</v>
      </c>
      <c r="S6" s="56" t="s">
        <v>275</v>
      </c>
      <c r="T6" s="56" t="s">
        <v>275</v>
      </c>
      <c r="U6" s="56" t="s">
        <v>275</v>
      </c>
      <c r="V6" s="56" t="s">
        <v>275</v>
      </c>
      <c r="W6" s="56" t="s">
        <v>275</v>
      </c>
      <c r="X6" s="56" t="s">
        <v>275</v>
      </c>
      <c r="Y6" s="56" t="s">
        <v>275</v>
      </c>
      <c r="Z6" s="56" t="s">
        <v>275</v>
      </c>
    </row>
    <row r="7" spans="1:26" x14ac:dyDescent="0.25">
      <c r="A7" s="21" t="s">
        <v>106</v>
      </c>
      <c r="B7" s="31" t="s">
        <v>107</v>
      </c>
      <c r="C7" s="31" t="s">
        <v>50</v>
      </c>
      <c r="D7" s="21" t="s">
        <v>272</v>
      </c>
      <c r="E7" s="21" t="s">
        <v>273</v>
      </c>
      <c r="F7" s="55" t="s">
        <v>275</v>
      </c>
      <c r="G7" s="55" t="s">
        <v>275</v>
      </c>
      <c r="H7" s="55" t="s">
        <v>275</v>
      </c>
      <c r="I7" s="54" t="s">
        <v>274</v>
      </c>
      <c r="J7" s="54" t="s">
        <v>274</v>
      </c>
      <c r="K7" s="55" t="s">
        <v>275</v>
      </c>
      <c r="L7" s="55" t="s">
        <v>275</v>
      </c>
      <c r="M7" s="55" t="s">
        <v>275</v>
      </c>
      <c r="N7" s="55" t="s">
        <v>275</v>
      </c>
      <c r="O7" s="55" t="s">
        <v>275</v>
      </c>
      <c r="P7" s="55" t="s">
        <v>275</v>
      </c>
      <c r="Q7" s="55" t="s">
        <v>275</v>
      </c>
      <c r="R7" s="55" t="s">
        <v>275</v>
      </c>
      <c r="S7" s="55" t="s">
        <v>275</v>
      </c>
      <c r="T7" s="55" t="s">
        <v>275</v>
      </c>
      <c r="U7" s="55" t="s">
        <v>275</v>
      </c>
      <c r="V7" s="55" t="s">
        <v>275</v>
      </c>
      <c r="W7" s="55" t="s">
        <v>275</v>
      </c>
      <c r="X7" s="55" t="s">
        <v>275</v>
      </c>
      <c r="Y7" s="55" t="s">
        <v>275</v>
      </c>
      <c r="Z7" s="55" t="s">
        <v>275</v>
      </c>
    </row>
    <row r="8" spans="1:26" x14ac:dyDescent="0.25">
      <c r="A8" s="27" t="s">
        <v>110</v>
      </c>
      <c r="B8" s="40" t="s">
        <v>111</v>
      </c>
      <c r="C8" s="40" t="s">
        <v>50</v>
      </c>
      <c r="D8" s="27" t="s">
        <v>272</v>
      </c>
      <c r="E8" s="27" t="s">
        <v>273</v>
      </c>
      <c r="F8" s="56" t="s">
        <v>275</v>
      </c>
      <c r="G8" s="56" t="s">
        <v>275</v>
      </c>
      <c r="H8" s="56" t="s">
        <v>275</v>
      </c>
      <c r="I8" s="54" t="s">
        <v>274</v>
      </c>
      <c r="J8" s="54" t="s">
        <v>274</v>
      </c>
      <c r="K8" s="56" t="s">
        <v>275</v>
      </c>
      <c r="L8" s="56" t="s">
        <v>275</v>
      </c>
      <c r="M8" s="56" t="s">
        <v>275</v>
      </c>
      <c r="N8" s="56" t="s">
        <v>275</v>
      </c>
      <c r="O8" s="56" t="s">
        <v>275</v>
      </c>
      <c r="P8" s="56" t="s">
        <v>275</v>
      </c>
      <c r="Q8" s="56" t="s">
        <v>275</v>
      </c>
      <c r="R8" s="56" t="s">
        <v>275</v>
      </c>
      <c r="S8" s="56" t="s">
        <v>275</v>
      </c>
      <c r="T8" s="56" t="s">
        <v>275</v>
      </c>
      <c r="U8" s="56" t="s">
        <v>275</v>
      </c>
      <c r="V8" s="56" t="s">
        <v>275</v>
      </c>
      <c r="W8" s="56" t="s">
        <v>275</v>
      </c>
      <c r="X8" s="56" t="s">
        <v>275</v>
      </c>
      <c r="Y8" s="56" t="s">
        <v>275</v>
      </c>
      <c r="Z8" s="56" t="s">
        <v>275</v>
      </c>
    </row>
    <row r="9" spans="1:26" x14ac:dyDescent="0.25">
      <c r="A9" s="21" t="s">
        <v>113</v>
      </c>
      <c r="B9" s="31" t="s">
        <v>114</v>
      </c>
      <c r="C9" s="31" t="s">
        <v>50</v>
      </c>
      <c r="D9" s="21" t="s">
        <v>272</v>
      </c>
      <c r="E9" s="21" t="s">
        <v>273</v>
      </c>
      <c r="F9" s="55" t="s">
        <v>275</v>
      </c>
      <c r="G9" s="55" t="s">
        <v>275</v>
      </c>
      <c r="H9" s="55" t="s">
        <v>275</v>
      </c>
      <c r="I9" s="55" t="s">
        <v>275</v>
      </c>
      <c r="J9" s="54" t="s">
        <v>274</v>
      </c>
      <c r="K9" s="54" t="s">
        <v>274</v>
      </c>
      <c r="L9" s="55" t="s">
        <v>275</v>
      </c>
      <c r="M9" s="55" t="s">
        <v>275</v>
      </c>
      <c r="N9" s="55" t="s">
        <v>275</v>
      </c>
      <c r="O9" s="55" t="s">
        <v>275</v>
      </c>
      <c r="P9" s="55" t="s">
        <v>275</v>
      </c>
      <c r="Q9" s="55" t="s">
        <v>275</v>
      </c>
      <c r="R9" s="55" t="s">
        <v>275</v>
      </c>
      <c r="S9" s="55" t="s">
        <v>275</v>
      </c>
      <c r="T9" s="55" t="s">
        <v>275</v>
      </c>
      <c r="U9" s="55" t="s">
        <v>275</v>
      </c>
      <c r="V9" s="55" t="s">
        <v>275</v>
      </c>
      <c r="W9" s="55" t="s">
        <v>275</v>
      </c>
      <c r="X9" s="55" t="s">
        <v>275</v>
      </c>
      <c r="Y9" s="55" t="s">
        <v>275</v>
      </c>
      <c r="Z9" s="55" t="s">
        <v>275</v>
      </c>
    </row>
    <row r="10" spans="1:26" x14ac:dyDescent="0.25">
      <c r="A10" s="27" t="s">
        <v>116</v>
      </c>
      <c r="B10" s="40" t="s">
        <v>117</v>
      </c>
      <c r="C10" s="40" t="s">
        <v>50</v>
      </c>
      <c r="D10" s="27" t="s">
        <v>272</v>
      </c>
      <c r="E10" s="27" t="s">
        <v>273</v>
      </c>
      <c r="F10" s="56" t="s">
        <v>275</v>
      </c>
      <c r="G10" s="56" t="s">
        <v>275</v>
      </c>
      <c r="H10" s="56" t="s">
        <v>275</v>
      </c>
      <c r="I10" s="56" t="s">
        <v>275</v>
      </c>
      <c r="J10" s="54" t="s">
        <v>274</v>
      </c>
      <c r="K10" s="54" t="s">
        <v>274</v>
      </c>
      <c r="L10" s="56" t="s">
        <v>275</v>
      </c>
      <c r="M10" s="56" t="s">
        <v>275</v>
      </c>
      <c r="N10" s="56" t="s">
        <v>275</v>
      </c>
      <c r="O10" s="56" t="s">
        <v>275</v>
      </c>
      <c r="P10" s="56" t="s">
        <v>275</v>
      </c>
      <c r="Q10" s="56" t="s">
        <v>275</v>
      </c>
      <c r="R10" s="56" t="s">
        <v>275</v>
      </c>
      <c r="S10" s="56" t="s">
        <v>275</v>
      </c>
      <c r="T10" s="56" t="s">
        <v>275</v>
      </c>
      <c r="U10" s="56" t="s">
        <v>275</v>
      </c>
      <c r="V10" s="56" t="s">
        <v>275</v>
      </c>
      <c r="W10" s="56" t="s">
        <v>275</v>
      </c>
      <c r="X10" s="56" t="s">
        <v>275</v>
      </c>
      <c r="Y10" s="56" t="s">
        <v>275</v>
      </c>
      <c r="Z10" s="56" t="s">
        <v>275</v>
      </c>
    </row>
    <row r="11" spans="1:26" x14ac:dyDescent="0.25">
      <c r="A11" s="21" t="s">
        <v>119</v>
      </c>
      <c r="B11" s="31" t="s">
        <v>120</v>
      </c>
      <c r="C11" s="31" t="s">
        <v>50</v>
      </c>
      <c r="D11" s="21" t="s">
        <v>272</v>
      </c>
      <c r="E11" s="21" t="s">
        <v>273</v>
      </c>
      <c r="F11" s="55" t="s">
        <v>275</v>
      </c>
      <c r="G11" s="55" t="s">
        <v>275</v>
      </c>
      <c r="H11" s="55" t="s">
        <v>275</v>
      </c>
      <c r="I11" s="55" t="s">
        <v>275</v>
      </c>
      <c r="J11" s="55" t="s">
        <v>275</v>
      </c>
      <c r="K11" s="54" t="s">
        <v>274</v>
      </c>
      <c r="L11" s="54" t="s">
        <v>274</v>
      </c>
      <c r="M11" s="55" t="s">
        <v>275</v>
      </c>
      <c r="N11" s="55" t="s">
        <v>275</v>
      </c>
      <c r="O11" s="55" t="s">
        <v>275</v>
      </c>
      <c r="P11" s="55" t="s">
        <v>275</v>
      </c>
      <c r="Q11" s="55" t="s">
        <v>275</v>
      </c>
      <c r="R11" s="55" t="s">
        <v>275</v>
      </c>
      <c r="S11" s="55" t="s">
        <v>275</v>
      </c>
      <c r="T11" s="55" t="s">
        <v>275</v>
      </c>
      <c r="U11" s="55" t="s">
        <v>275</v>
      </c>
      <c r="V11" s="55" t="s">
        <v>275</v>
      </c>
      <c r="W11" s="55" t="s">
        <v>275</v>
      </c>
      <c r="X11" s="55" t="s">
        <v>275</v>
      </c>
      <c r="Y11" s="55" t="s">
        <v>275</v>
      </c>
      <c r="Z11" s="55" t="s">
        <v>275</v>
      </c>
    </row>
    <row r="12" spans="1:26" x14ac:dyDescent="0.25">
      <c r="A12" s="27" t="s">
        <v>123</v>
      </c>
      <c r="B12" s="40" t="s">
        <v>124</v>
      </c>
      <c r="C12" s="40" t="s">
        <v>55</v>
      </c>
      <c r="D12" s="27" t="s">
        <v>272</v>
      </c>
      <c r="E12" s="27" t="s">
        <v>276</v>
      </c>
      <c r="F12" s="56" t="s">
        <v>275</v>
      </c>
      <c r="G12" s="56" t="s">
        <v>275</v>
      </c>
      <c r="H12" s="56" t="s">
        <v>275</v>
      </c>
      <c r="I12" s="56" t="s">
        <v>275</v>
      </c>
      <c r="J12" s="56" t="s">
        <v>275</v>
      </c>
      <c r="K12" s="57" t="s">
        <v>274</v>
      </c>
      <c r="L12" s="57" t="s">
        <v>274</v>
      </c>
      <c r="M12" s="56" t="s">
        <v>275</v>
      </c>
      <c r="N12" s="56" t="s">
        <v>275</v>
      </c>
      <c r="O12" s="56" t="s">
        <v>275</v>
      </c>
      <c r="P12" s="56" t="s">
        <v>275</v>
      </c>
      <c r="Q12" s="56" t="s">
        <v>275</v>
      </c>
      <c r="R12" s="56" t="s">
        <v>275</v>
      </c>
      <c r="S12" s="56" t="s">
        <v>275</v>
      </c>
      <c r="T12" s="56" t="s">
        <v>275</v>
      </c>
      <c r="U12" s="56" t="s">
        <v>275</v>
      </c>
      <c r="V12" s="56" t="s">
        <v>275</v>
      </c>
      <c r="W12" s="56" t="s">
        <v>275</v>
      </c>
      <c r="X12" s="56" t="s">
        <v>275</v>
      </c>
      <c r="Y12" s="56" t="s">
        <v>275</v>
      </c>
      <c r="Z12" s="56" t="s">
        <v>275</v>
      </c>
    </row>
    <row r="13" spans="1:26" x14ac:dyDescent="0.25">
      <c r="A13" s="21" t="s">
        <v>127</v>
      </c>
      <c r="B13" s="31" t="s">
        <v>128</v>
      </c>
      <c r="C13" s="31" t="s">
        <v>55</v>
      </c>
      <c r="D13" s="21" t="s">
        <v>272</v>
      </c>
      <c r="E13" s="21" t="s">
        <v>276</v>
      </c>
      <c r="F13" s="55" t="s">
        <v>275</v>
      </c>
      <c r="G13" s="55" t="s">
        <v>275</v>
      </c>
      <c r="H13" s="55" t="s">
        <v>275</v>
      </c>
      <c r="I13" s="55" t="s">
        <v>275</v>
      </c>
      <c r="J13" s="55" t="s">
        <v>275</v>
      </c>
      <c r="K13" s="55" t="s">
        <v>275</v>
      </c>
      <c r="L13" s="57" t="s">
        <v>274</v>
      </c>
      <c r="M13" s="57" t="s">
        <v>274</v>
      </c>
      <c r="N13" s="55" t="s">
        <v>275</v>
      </c>
      <c r="O13" s="55" t="s">
        <v>275</v>
      </c>
      <c r="P13" s="55" t="s">
        <v>275</v>
      </c>
      <c r="Q13" s="55" t="s">
        <v>275</v>
      </c>
      <c r="R13" s="55" t="s">
        <v>275</v>
      </c>
      <c r="S13" s="55" t="s">
        <v>275</v>
      </c>
      <c r="T13" s="55" t="s">
        <v>275</v>
      </c>
      <c r="U13" s="55" t="s">
        <v>275</v>
      </c>
      <c r="V13" s="55" t="s">
        <v>275</v>
      </c>
      <c r="W13" s="55" t="s">
        <v>275</v>
      </c>
      <c r="X13" s="55" t="s">
        <v>275</v>
      </c>
      <c r="Y13" s="55" t="s">
        <v>275</v>
      </c>
      <c r="Z13" s="55" t="s">
        <v>275</v>
      </c>
    </row>
    <row r="14" spans="1:26" x14ac:dyDescent="0.25">
      <c r="A14" s="27" t="s">
        <v>131</v>
      </c>
      <c r="B14" s="40" t="s">
        <v>132</v>
      </c>
      <c r="C14" s="40" t="s">
        <v>55</v>
      </c>
      <c r="D14" s="27" t="s">
        <v>272</v>
      </c>
      <c r="E14" s="27" t="s">
        <v>273</v>
      </c>
      <c r="F14" s="56" t="s">
        <v>275</v>
      </c>
      <c r="G14" s="56" t="s">
        <v>275</v>
      </c>
      <c r="H14" s="56" t="s">
        <v>275</v>
      </c>
      <c r="I14" s="56" t="s">
        <v>275</v>
      </c>
      <c r="J14" s="56" t="s">
        <v>275</v>
      </c>
      <c r="K14" s="56" t="s">
        <v>275</v>
      </c>
      <c r="L14" s="57" t="s">
        <v>274</v>
      </c>
      <c r="M14" s="57" t="s">
        <v>274</v>
      </c>
      <c r="N14" s="56" t="s">
        <v>275</v>
      </c>
      <c r="O14" s="56" t="s">
        <v>275</v>
      </c>
      <c r="P14" s="56" t="s">
        <v>275</v>
      </c>
      <c r="Q14" s="56" t="s">
        <v>275</v>
      </c>
      <c r="R14" s="56" t="s">
        <v>275</v>
      </c>
      <c r="S14" s="56" t="s">
        <v>275</v>
      </c>
      <c r="T14" s="56" t="s">
        <v>275</v>
      </c>
      <c r="U14" s="56" t="s">
        <v>275</v>
      </c>
      <c r="V14" s="56" t="s">
        <v>275</v>
      </c>
      <c r="W14" s="56" t="s">
        <v>275</v>
      </c>
      <c r="X14" s="56" t="s">
        <v>275</v>
      </c>
      <c r="Y14" s="56" t="s">
        <v>275</v>
      </c>
      <c r="Z14" s="56" t="s">
        <v>275</v>
      </c>
    </row>
    <row r="15" spans="1:26" x14ac:dyDescent="0.25">
      <c r="A15" s="21" t="s">
        <v>135</v>
      </c>
      <c r="B15" s="31" t="s">
        <v>136</v>
      </c>
      <c r="C15" s="31" t="s">
        <v>55</v>
      </c>
      <c r="D15" s="21" t="s">
        <v>272</v>
      </c>
      <c r="E15" s="21" t="s">
        <v>276</v>
      </c>
      <c r="F15" s="55" t="s">
        <v>275</v>
      </c>
      <c r="G15" s="55" t="s">
        <v>275</v>
      </c>
      <c r="H15" s="55" t="s">
        <v>275</v>
      </c>
      <c r="I15" s="55" t="s">
        <v>275</v>
      </c>
      <c r="J15" s="55" t="s">
        <v>275</v>
      </c>
      <c r="K15" s="55" t="s">
        <v>275</v>
      </c>
      <c r="L15" s="57" t="s">
        <v>274</v>
      </c>
      <c r="M15" s="57" t="s">
        <v>274</v>
      </c>
      <c r="N15" s="55" t="s">
        <v>275</v>
      </c>
      <c r="O15" s="55" t="s">
        <v>275</v>
      </c>
      <c r="P15" s="55" t="s">
        <v>275</v>
      </c>
      <c r="Q15" s="55" t="s">
        <v>275</v>
      </c>
      <c r="R15" s="55" t="s">
        <v>275</v>
      </c>
      <c r="S15" s="55" t="s">
        <v>275</v>
      </c>
      <c r="T15" s="55" t="s">
        <v>275</v>
      </c>
      <c r="U15" s="55" t="s">
        <v>275</v>
      </c>
      <c r="V15" s="55" t="s">
        <v>275</v>
      </c>
      <c r="W15" s="55" t="s">
        <v>275</v>
      </c>
      <c r="X15" s="55" t="s">
        <v>275</v>
      </c>
      <c r="Y15" s="55" t="s">
        <v>275</v>
      </c>
      <c r="Z15" s="55" t="s">
        <v>275</v>
      </c>
    </row>
    <row r="16" spans="1:26" x14ac:dyDescent="0.25">
      <c r="A16" s="27" t="s">
        <v>139</v>
      </c>
      <c r="B16" s="40" t="s">
        <v>140</v>
      </c>
      <c r="C16" s="40" t="s">
        <v>46</v>
      </c>
      <c r="D16" s="27" t="s">
        <v>272</v>
      </c>
      <c r="E16" s="27" t="s">
        <v>276</v>
      </c>
      <c r="F16" s="56" t="s">
        <v>275</v>
      </c>
      <c r="G16" s="56" t="s">
        <v>275</v>
      </c>
      <c r="H16" s="56" t="s">
        <v>275</v>
      </c>
      <c r="I16" s="56" t="s">
        <v>275</v>
      </c>
      <c r="J16" s="56" t="s">
        <v>275</v>
      </c>
      <c r="K16" s="56" t="s">
        <v>275</v>
      </c>
      <c r="L16" s="58" t="s">
        <v>274</v>
      </c>
      <c r="M16" s="58" t="s">
        <v>274</v>
      </c>
      <c r="N16" s="56" t="s">
        <v>275</v>
      </c>
      <c r="O16" s="56" t="s">
        <v>275</v>
      </c>
      <c r="P16" s="56" t="s">
        <v>275</v>
      </c>
      <c r="Q16" s="56" t="s">
        <v>275</v>
      </c>
      <c r="R16" s="56" t="s">
        <v>275</v>
      </c>
      <c r="S16" s="56" t="s">
        <v>275</v>
      </c>
      <c r="T16" s="56" t="s">
        <v>275</v>
      </c>
      <c r="U16" s="56" t="s">
        <v>275</v>
      </c>
      <c r="V16" s="56" t="s">
        <v>275</v>
      </c>
      <c r="W16" s="56" t="s">
        <v>275</v>
      </c>
      <c r="X16" s="56" t="s">
        <v>275</v>
      </c>
      <c r="Y16" s="56" t="s">
        <v>275</v>
      </c>
      <c r="Z16" s="56" t="s">
        <v>275</v>
      </c>
    </row>
    <row r="17" spans="1:26" x14ac:dyDescent="0.25">
      <c r="A17" s="21" t="s">
        <v>143</v>
      </c>
      <c r="B17" s="31" t="s">
        <v>144</v>
      </c>
      <c r="C17" s="31" t="s">
        <v>46</v>
      </c>
      <c r="D17" s="21" t="s">
        <v>272</v>
      </c>
      <c r="E17" s="21" t="s">
        <v>273</v>
      </c>
      <c r="F17" s="55" t="s">
        <v>275</v>
      </c>
      <c r="G17" s="55" t="s">
        <v>275</v>
      </c>
      <c r="H17" s="55" t="s">
        <v>275</v>
      </c>
      <c r="I17" s="55" t="s">
        <v>275</v>
      </c>
      <c r="J17" s="55" t="s">
        <v>275</v>
      </c>
      <c r="K17" s="55" t="s">
        <v>275</v>
      </c>
      <c r="L17" s="55" t="s">
        <v>275</v>
      </c>
      <c r="M17" s="58" t="s">
        <v>274</v>
      </c>
      <c r="N17" s="58" t="s">
        <v>274</v>
      </c>
      <c r="O17" s="55" t="s">
        <v>275</v>
      </c>
      <c r="P17" s="55" t="s">
        <v>275</v>
      </c>
      <c r="Q17" s="55" t="s">
        <v>275</v>
      </c>
      <c r="R17" s="55" t="s">
        <v>275</v>
      </c>
      <c r="S17" s="55" t="s">
        <v>275</v>
      </c>
      <c r="T17" s="55" t="s">
        <v>275</v>
      </c>
      <c r="U17" s="55" t="s">
        <v>275</v>
      </c>
      <c r="V17" s="55" t="s">
        <v>275</v>
      </c>
      <c r="W17" s="55" t="s">
        <v>275</v>
      </c>
      <c r="X17" s="55" t="s">
        <v>275</v>
      </c>
      <c r="Y17" s="55" t="s">
        <v>275</v>
      </c>
      <c r="Z17" s="55" t="s">
        <v>275</v>
      </c>
    </row>
    <row r="18" spans="1:26" x14ac:dyDescent="0.25">
      <c r="A18" s="27" t="s">
        <v>146</v>
      </c>
      <c r="B18" s="40" t="s">
        <v>147</v>
      </c>
      <c r="C18" s="40" t="s">
        <v>46</v>
      </c>
      <c r="D18" s="27" t="s">
        <v>272</v>
      </c>
      <c r="E18" s="27" t="s">
        <v>276</v>
      </c>
      <c r="F18" s="56" t="s">
        <v>275</v>
      </c>
      <c r="G18" s="56" t="s">
        <v>275</v>
      </c>
      <c r="H18" s="56" t="s">
        <v>275</v>
      </c>
      <c r="I18" s="56" t="s">
        <v>275</v>
      </c>
      <c r="J18" s="56" t="s">
        <v>275</v>
      </c>
      <c r="K18" s="56" t="s">
        <v>275</v>
      </c>
      <c r="L18" s="56" t="s">
        <v>275</v>
      </c>
      <c r="M18" s="58" t="s">
        <v>274</v>
      </c>
      <c r="N18" s="58" t="s">
        <v>274</v>
      </c>
      <c r="O18" s="56" t="s">
        <v>275</v>
      </c>
      <c r="P18" s="56" t="s">
        <v>275</v>
      </c>
      <c r="Q18" s="56" t="s">
        <v>275</v>
      </c>
      <c r="R18" s="56" t="s">
        <v>275</v>
      </c>
      <c r="S18" s="56" t="s">
        <v>275</v>
      </c>
      <c r="T18" s="56" t="s">
        <v>275</v>
      </c>
      <c r="U18" s="56" t="s">
        <v>275</v>
      </c>
      <c r="V18" s="56" t="s">
        <v>275</v>
      </c>
      <c r="W18" s="56" t="s">
        <v>275</v>
      </c>
      <c r="X18" s="56" t="s">
        <v>275</v>
      </c>
      <c r="Y18" s="56" t="s">
        <v>275</v>
      </c>
      <c r="Z18" s="56" t="s">
        <v>275</v>
      </c>
    </row>
    <row r="19" spans="1:26" x14ac:dyDescent="0.25">
      <c r="A19" s="21" t="s">
        <v>149</v>
      </c>
      <c r="B19" s="31" t="s">
        <v>150</v>
      </c>
      <c r="C19" s="31" t="s">
        <v>46</v>
      </c>
      <c r="D19" s="21" t="s">
        <v>272</v>
      </c>
      <c r="E19" s="21" t="s">
        <v>276</v>
      </c>
      <c r="F19" s="55" t="s">
        <v>275</v>
      </c>
      <c r="G19" s="55" t="s">
        <v>275</v>
      </c>
      <c r="H19" s="55" t="s">
        <v>275</v>
      </c>
      <c r="I19" s="55" t="s">
        <v>275</v>
      </c>
      <c r="J19" s="55" t="s">
        <v>275</v>
      </c>
      <c r="K19" s="55" t="s">
        <v>275</v>
      </c>
      <c r="L19" s="55" t="s">
        <v>275</v>
      </c>
      <c r="M19" s="58" t="s">
        <v>274</v>
      </c>
      <c r="N19" s="58" t="s">
        <v>274</v>
      </c>
      <c r="O19" s="55" t="s">
        <v>275</v>
      </c>
      <c r="P19" s="55" t="s">
        <v>275</v>
      </c>
      <c r="Q19" s="55" t="s">
        <v>275</v>
      </c>
      <c r="R19" s="55" t="s">
        <v>275</v>
      </c>
      <c r="S19" s="55" t="s">
        <v>275</v>
      </c>
      <c r="T19" s="55" t="s">
        <v>275</v>
      </c>
      <c r="U19" s="55" t="s">
        <v>275</v>
      </c>
      <c r="V19" s="55" t="s">
        <v>275</v>
      </c>
      <c r="W19" s="55" t="s">
        <v>275</v>
      </c>
      <c r="X19" s="55" t="s">
        <v>275</v>
      </c>
      <c r="Y19" s="55" t="s">
        <v>275</v>
      </c>
      <c r="Z19" s="55" t="s">
        <v>275</v>
      </c>
    </row>
    <row r="20" spans="1:26" x14ac:dyDescent="0.25">
      <c r="A20" s="27" t="s">
        <v>152</v>
      </c>
      <c r="B20" s="40" t="s">
        <v>154</v>
      </c>
      <c r="C20" s="40" t="s">
        <v>46</v>
      </c>
      <c r="D20" s="27" t="s">
        <v>272</v>
      </c>
      <c r="E20" s="27" t="s">
        <v>276</v>
      </c>
      <c r="F20" s="56" t="s">
        <v>275</v>
      </c>
      <c r="G20" s="56" t="s">
        <v>275</v>
      </c>
      <c r="H20" s="56" t="s">
        <v>275</v>
      </c>
      <c r="I20" s="56" t="s">
        <v>275</v>
      </c>
      <c r="J20" s="56" t="s">
        <v>275</v>
      </c>
      <c r="K20" s="56" t="s">
        <v>275</v>
      </c>
      <c r="L20" s="56" t="s">
        <v>275</v>
      </c>
      <c r="M20" s="56" t="s">
        <v>275</v>
      </c>
      <c r="N20" s="58" t="s">
        <v>274</v>
      </c>
      <c r="O20" s="58" t="s">
        <v>274</v>
      </c>
      <c r="P20" s="56" t="s">
        <v>275</v>
      </c>
      <c r="Q20" s="56" t="s">
        <v>275</v>
      </c>
      <c r="R20" s="56" t="s">
        <v>275</v>
      </c>
      <c r="S20" s="56" t="s">
        <v>275</v>
      </c>
      <c r="T20" s="56" t="s">
        <v>275</v>
      </c>
      <c r="U20" s="56" t="s">
        <v>275</v>
      </c>
      <c r="V20" s="56" t="s">
        <v>275</v>
      </c>
      <c r="W20" s="56" t="s">
        <v>275</v>
      </c>
      <c r="X20" s="56" t="s">
        <v>275</v>
      </c>
      <c r="Y20" s="56" t="s">
        <v>275</v>
      </c>
      <c r="Z20" s="56" t="s">
        <v>275</v>
      </c>
    </row>
    <row r="21" spans="1:26" x14ac:dyDescent="0.25">
      <c r="A21" s="21" t="s">
        <v>156</v>
      </c>
      <c r="B21" s="31" t="s">
        <v>157</v>
      </c>
      <c r="C21" s="31" t="s">
        <v>46</v>
      </c>
      <c r="D21" s="21" t="s">
        <v>272</v>
      </c>
      <c r="E21" s="21" t="s">
        <v>276</v>
      </c>
      <c r="F21" s="55" t="s">
        <v>275</v>
      </c>
      <c r="G21" s="55" t="s">
        <v>275</v>
      </c>
      <c r="H21" s="55" t="s">
        <v>275</v>
      </c>
      <c r="I21" s="55" t="s">
        <v>275</v>
      </c>
      <c r="J21" s="55" t="s">
        <v>275</v>
      </c>
      <c r="K21" s="55" t="s">
        <v>275</v>
      </c>
      <c r="L21" s="55" t="s">
        <v>275</v>
      </c>
      <c r="M21" s="55" t="s">
        <v>275</v>
      </c>
      <c r="N21" s="58" t="s">
        <v>274</v>
      </c>
      <c r="O21" s="58" t="s">
        <v>274</v>
      </c>
      <c r="P21" s="55" t="s">
        <v>275</v>
      </c>
      <c r="Q21" s="55" t="s">
        <v>275</v>
      </c>
      <c r="R21" s="55" t="s">
        <v>275</v>
      </c>
      <c r="S21" s="55" t="s">
        <v>275</v>
      </c>
      <c r="T21" s="55" t="s">
        <v>275</v>
      </c>
      <c r="U21" s="55" t="s">
        <v>275</v>
      </c>
      <c r="V21" s="55" t="s">
        <v>275</v>
      </c>
      <c r="W21" s="55" t="s">
        <v>275</v>
      </c>
      <c r="X21" s="55" t="s">
        <v>275</v>
      </c>
      <c r="Y21" s="55" t="s">
        <v>275</v>
      </c>
      <c r="Z21" s="55" t="s">
        <v>275</v>
      </c>
    </row>
    <row r="22" spans="1:26" x14ac:dyDescent="0.25">
      <c r="A22" s="27" t="s">
        <v>160</v>
      </c>
      <c r="B22" s="40" t="s">
        <v>161</v>
      </c>
      <c r="C22" s="40" t="s">
        <v>46</v>
      </c>
      <c r="D22" s="27" t="s">
        <v>272</v>
      </c>
      <c r="E22" s="27" t="s">
        <v>276</v>
      </c>
      <c r="F22" s="56" t="s">
        <v>275</v>
      </c>
      <c r="G22" s="56" t="s">
        <v>275</v>
      </c>
      <c r="H22" s="56" t="s">
        <v>275</v>
      </c>
      <c r="I22" s="56" t="s">
        <v>275</v>
      </c>
      <c r="J22" s="56" t="s">
        <v>275</v>
      </c>
      <c r="K22" s="56" t="s">
        <v>275</v>
      </c>
      <c r="L22" s="56" t="s">
        <v>275</v>
      </c>
      <c r="M22" s="56" t="s">
        <v>275</v>
      </c>
      <c r="N22" s="58" t="s">
        <v>274</v>
      </c>
      <c r="O22" s="58" t="s">
        <v>274</v>
      </c>
      <c r="P22" s="56" t="s">
        <v>275</v>
      </c>
      <c r="Q22" s="56" t="s">
        <v>275</v>
      </c>
      <c r="R22" s="56" t="s">
        <v>275</v>
      </c>
      <c r="S22" s="56" t="s">
        <v>275</v>
      </c>
      <c r="T22" s="56" t="s">
        <v>275</v>
      </c>
      <c r="U22" s="56" t="s">
        <v>275</v>
      </c>
      <c r="V22" s="56" t="s">
        <v>275</v>
      </c>
      <c r="W22" s="56" t="s">
        <v>275</v>
      </c>
      <c r="X22" s="56" t="s">
        <v>275</v>
      </c>
      <c r="Y22" s="56" t="s">
        <v>275</v>
      </c>
      <c r="Z22" s="56" t="s">
        <v>275</v>
      </c>
    </row>
    <row r="23" spans="1:26" x14ac:dyDescent="0.25">
      <c r="A23" s="21" t="s">
        <v>163</v>
      </c>
      <c r="B23" s="31" t="s">
        <v>164</v>
      </c>
      <c r="C23" s="31" t="s">
        <v>46</v>
      </c>
      <c r="D23" s="21" t="s">
        <v>272</v>
      </c>
      <c r="E23" s="21" t="s">
        <v>276</v>
      </c>
      <c r="F23" s="55" t="s">
        <v>275</v>
      </c>
      <c r="G23" s="55" t="s">
        <v>275</v>
      </c>
      <c r="H23" s="55" t="s">
        <v>275</v>
      </c>
      <c r="I23" s="55" t="s">
        <v>275</v>
      </c>
      <c r="J23" s="55" t="s">
        <v>275</v>
      </c>
      <c r="K23" s="55" t="s">
        <v>275</v>
      </c>
      <c r="L23" s="55" t="s">
        <v>275</v>
      </c>
      <c r="M23" s="55" t="s">
        <v>275</v>
      </c>
      <c r="N23" s="58" t="s">
        <v>274</v>
      </c>
      <c r="O23" s="58" t="s">
        <v>274</v>
      </c>
      <c r="P23" s="55" t="s">
        <v>275</v>
      </c>
      <c r="Q23" s="55" t="s">
        <v>275</v>
      </c>
      <c r="R23" s="55" t="s">
        <v>275</v>
      </c>
      <c r="S23" s="55" t="s">
        <v>275</v>
      </c>
      <c r="T23" s="55" t="s">
        <v>275</v>
      </c>
      <c r="U23" s="55" t="s">
        <v>275</v>
      </c>
      <c r="V23" s="55" t="s">
        <v>275</v>
      </c>
      <c r="W23" s="55" t="s">
        <v>275</v>
      </c>
      <c r="X23" s="55" t="s">
        <v>275</v>
      </c>
      <c r="Y23" s="55" t="s">
        <v>275</v>
      </c>
      <c r="Z23" s="55" t="s">
        <v>275</v>
      </c>
    </row>
    <row r="24" spans="1:26" x14ac:dyDescent="0.25">
      <c r="A24" s="27" t="s">
        <v>166</v>
      </c>
      <c r="B24" s="40" t="s">
        <v>167</v>
      </c>
      <c r="C24" s="40" t="s">
        <v>46</v>
      </c>
      <c r="D24" s="27" t="s">
        <v>272</v>
      </c>
      <c r="E24" s="27" t="s">
        <v>276</v>
      </c>
      <c r="F24" s="56" t="s">
        <v>275</v>
      </c>
      <c r="G24" s="56" t="s">
        <v>275</v>
      </c>
      <c r="H24" s="56" t="s">
        <v>275</v>
      </c>
      <c r="I24" s="56" t="s">
        <v>275</v>
      </c>
      <c r="J24" s="56" t="s">
        <v>275</v>
      </c>
      <c r="K24" s="56" t="s">
        <v>275</v>
      </c>
      <c r="L24" s="56" t="s">
        <v>275</v>
      </c>
      <c r="M24" s="56" t="s">
        <v>275</v>
      </c>
      <c r="N24" s="56" t="s">
        <v>275</v>
      </c>
      <c r="O24" s="58" t="s">
        <v>274</v>
      </c>
      <c r="P24" s="58" t="s">
        <v>274</v>
      </c>
      <c r="Q24" s="56" t="s">
        <v>275</v>
      </c>
      <c r="R24" s="56" t="s">
        <v>275</v>
      </c>
      <c r="S24" s="56" t="s">
        <v>275</v>
      </c>
      <c r="T24" s="56" t="s">
        <v>275</v>
      </c>
      <c r="U24" s="56" t="s">
        <v>275</v>
      </c>
      <c r="V24" s="56" t="s">
        <v>275</v>
      </c>
      <c r="W24" s="56" t="s">
        <v>275</v>
      </c>
      <c r="X24" s="56" t="s">
        <v>275</v>
      </c>
      <c r="Y24" s="56" t="s">
        <v>275</v>
      </c>
      <c r="Z24" s="56" t="s">
        <v>275</v>
      </c>
    </row>
    <row r="25" spans="1:26" x14ac:dyDescent="0.25">
      <c r="A25" s="21" t="s">
        <v>169</v>
      </c>
      <c r="B25" s="31" t="s">
        <v>170</v>
      </c>
      <c r="C25" s="31" t="s">
        <v>41</v>
      </c>
      <c r="D25" s="21" t="s">
        <v>272</v>
      </c>
      <c r="E25" s="21" t="s">
        <v>273</v>
      </c>
      <c r="F25" s="55" t="s">
        <v>275</v>
      </c>
      <c r="G25" s="55" t="s">
        <v>275</v>
      </c>
      <c r="H25" s="55" t="s">
        <v>275</v>
      </c>
      <c r="I25" s="55" t="s">
        <v>275</v>
      </c>
      <c r="J25" s="55" t="s">
        <v>275</v>
      </c>
      <c r="K25" s="55" t="s">
        <v>275</v>
      </c>
      <c r="L25" s="55" t="s">
        <v>275</v>
      </c>
      <c r="M25" s="55" t="s">
        <v>275</v>
      </c>
      <c r="N25" s="55" t="s">
        <v>275</v>
      </c>
      <c r="O25" s="59" t="s">
        <v>274</v>
      </c>
      <c r="P25" s="59" t="s">
        <v>274</v>
      </c>
      <c r="Q25" s="55" t="s">
        <v>275</v>
      </c>
      <c r="R25" s="55" t="s">
        <v>275</v>
      </c>
      <c r="S25" s="55" t="s">
        <v>275</v>
      </c>
      <c r="T25" s="55" t="s">
        <v>275</v>
      </c>
      <c r="U25" s="55" t="s">
        <v>275</v>
      </c>
      <c r="V25" s="55" t="s">
        <v>275</v>
      </c>
      <c r="W25" s="55" t="s">
        <v>275</v>
      </c>
      <c r="X25" s="55" t="s">
        <v>275</v>
      </c>
      <c r="Y25" s="55" t="s">
        <v>275</v>
      </c>
      <c r="Z25" s="55" t="s">
        <v>275</v>
      </c>
    </row>
    <row r="26" spans="1:26" x14ac:dyDescent="0.25">
      <c r="A26" s="27" t="s">
        <v>172</v>
      </c>
      <c r="B26" s="40" t="s">
        <v>173</v>
      </c>
      <c r="C26" s="40" t="s">
        <v>41</v>
      </c>
      <c r="D26" s="27" t="s">
        <v>272</v>
      </c>
      <c r="E26" s="27" t="s">
        <v>273</v>
      </c>
      <c r="F26" s="56" t="s">
        <v>275</v>
      </c>
      <c r="G26" s="56" t="s">
        <v>275</v>
      </c>
      <c r="H26" s="56" t="s">
        <v>275</v>
      </c>
      <c r="I26" s="56" t="s">
        <v>275</v>
      </c>
      <c r="J26" s="56" t="s">
        <v>275</v>
      </c>
      <c r="K26" s="56" t="s">
        <v>275</v>
      </c>
      <c r="L26" s="56" t="s">
        <v>275</v>
      </c>
      <c r="M26" s="56" t="s">
        <v>275</v>
      </c>
      <c r="N26" s="56" t="s">
        <v>275</v>
      </c>
      <c r="O26" s="59" t="s">
        <v>274</v>
      </c>
      <c r="P26" s="59" t="s">
        <v>274</v>
      </c>
      <c r="Q26" s="59" t="s">
        <v>274</v>
      </c>
      <c r="R26" s="56" t="s">
        <v>275</v>
      </c>
      <c r="S26" s="56" t="s">
        <v>275</v>
      </c>
      <c r="T26" s="56" t="s">
        <v>275</v>
      </c>
      <c r="U26" s="56" t="s">
        <v>275</v>
      </c>
      <c r="V26" s="56" t="s">
        <v>275</v>
      </c>
      <c r="W26" s="56" t="s">
        <v>275</v>
      </c>
      <c r="X26" s="56" t="s">
        <v>275</v>
      </c>
      <c r="Y26" s="56" t="s">
        <v>275</v>
      </c>
      <c r="Z26" s="56" t="s">
        <v>275</v>
      </c>
    </row>
    <row r="27" spans="1:26" x14ac:dyDescent="0.25">
      <c r="A27" s="21" t="s">
        <v>175</v>
      </c>
      <c r="B27" s="31" t="s">
        <v>176</v>
      </c>
      <c r="C27" s="31" t="s">
        <v>41</v>
      </c>
      <c r="D27" s="21" t="s">
        <v>272</v>
      </c>
      <c r="E27" s="21" t="s">
        <v>276</v>
      </c>
      <c r="F27" s="55" t="s">
        <v>275</v>
      </c>
      <c r="G27" s="55" t="s">
        <v>275</v>
      </c>
      <c r="H27" s="55" t="s">
        <v>275</v>
      </c>
      <c r="I27" s="55" t="s">
        <v>275</v>
      </c>
      <c r="J27" s="55" t="s">
        <v>275</v>
      </c>
      <c r="K27" s="55" t="s">
        <v>275</v>
      </c>
      <c r="L27" s="55" t="s">
        <v>275</v>
      </c>
      <c r="M27" s="55" t="s">
        <v>275</v>
      </c>
      <c r="N27" s="55" t="s">
        <v>275</v>
      </c>
      <c r="O27" s="55" t="s">
        <v>275</v>
      </c>
      <c r="P27" s="59" t="s">
        <v>274</v>
      </c>
      <c r="Q27" s="59" t="s">
        <v>274</v>
      </c>
      <c r="R27" s="55" t="s">
        <v>275</v>
      </c>
      <c r="S27" s="55" t="s">
        <v>275</v>
      </c>
      <c r="T27" s="55" t="s">
        <v>275</v>
      </c>
      <c r="U27" s="55" t="s">
        <v>275</v>
      </c>
      <c r="V27" s="55" t="s">
        <v>275</v>
      </c>
      <c r="W27" s="55" t="s">
        <v>275</v>
      </c>
      <c r="X27" s="55" t="s">
        <v>275</v>
      </c>
      <c r="Y27" s="55" t="s">
        <v>275</v>
      </c>
      <c r="Z27" s="55" t="s">
        <v>275</v>
      </c>
    </row>
    <row r="28" spans="1:26" x14ac:dyDescent="0.25">
      <c r="A28" s="27" t="s">
        <v>178</v>
      </c>
      <c r="B28" s="40" t="s">
        <v>179</v>
      </c>
      <c r="C28" s="40" t="s">
        <v>41</v>
      </c>
      <c r="D28" s="27" t="s">
        <v>272</v>
      </c>
      <c r="E28" s="27" t="s">
        <v>276</v>
      </c>
      <c r="F28" s="56" t="s">
        <v>275</v>
      </c>
      <c r="G28" s="56" t="s">
        <v>275</v>
      </c>
      <c r="H28" s="56" t="s">
        <v>275</v>
      </c>
      <c r="I28" s="56" t="s">
        <v>275</v>
      </c>
      <c r="J28" s="56" t="s">
        <v>275</v>
      </c>
      <c r="K28" s="56" t="s">
        <v>275</v>
      </c>
      <c r="L28" s="56" t="s">
        <v>275</v>
      </c>
      <c r="M28" s="56" t="s">
        <v>275</v>
      </c>
      <c r="N28" s="56" t="s">
        <v>275</v>
      </c>
      <c r="O28" s="56" t="s">
        <v>275</v>
      </c>
      <c r="P28" s="59" t="s">
        <v>274</v>
      </c>
      <c r="Q28" s="59" t="s">
        <v>274</v>
      </c>
      <c r="R28" s="56" t="s">
        <v>275</v>
      </c>
      <c r="S28" s="56" t="s">
        <v>275</v>
      </c>
      <c r="T28" s="56" t="s">
        <v>275</v>
      </c>
      <c r="U28" s="56" t="s">
        <v>275</v>
      </c>
      <c r="V28" s="56" t="s">
        <v>275</v>
      </c>
      <c r="W28" s="56" t="s">
        <v>275</v>
      </c>
      <c r="X28" s="56" t="s">
        <v>275</v>
      </c>
      <c r="Y28" s="56" t="s">
        <v>275</v>
      </c>
      <c r="Z28" s="56" t="s">
        <v>275</v>
      </c>
    </row>
    <row r="29" spans="1:26" x14ac:dyDescent="0.25">
      <c r="A29" s="21" t="s">
        <v>181</v>
      </c>
      <c r="B29" s="31" t="s">
        <v>182</v>
      </c>
      <c r="C29" s="31" t="s">
        <v>41</v>
      </c>
      <c r="D29" s="21" t="s">
        <v>272</v>
      </c>
      <c r="E29" s="21" t="s">
        <v>276</v>
      </c>
      <c r="F29" s="55" t="s">
        <v>275</v>
      </c>
      <c r="G29" s="55" t="s">
        <v>275</v>
      </c>
      <c r="H29" s="55" t="s">
        <v>275</v>
      </c>
      <c r="I29" s="55" t="s">
        <v>275</v>
      </c>
      <c r="J29" s="55" t="s">
        <v>275</v>
      </c>
      <c r="K29" s="55" t="s">
        <v>275</v>
      </c>
      <c r="L29" s="55" t="s">
        <v>275</v>
      </c>
      <c r="M29" s="55" t="s">
        <v>275</v>
      </c>
      <c r="N29" s="55" t="s">
        <v>275</v>
      </c>
      <c r="O29" s="55" t="s">
        <v>275</v>
      </c>
      <c r="P29" s="59" t="s">
        <v>274</v>
      </c>
      <c r="Q29" s="59" t="s">
        <v>274</v>
      </c>
      <c r="R29" s="55" t="s">
        <v>275</v>
      </c>
      <c r="S29" s="55" t="s">
        <v>275</v>
      </c>
      <c r="T29" s="55" t="s">
        <v>275</v>
      </c>
      <c r="U29" s="55" t="s">
        <v>275</v>
      </c>
      <c r="V29" s="55" t="s">
        <v>275</v>
      </c>
      <c r="W29" s="55" t="s">
        <v>275</v>
      </c>
      <c r="X29" s="55" t="s">
        <v>275</v>
      </c>
      <c r="Y29" s="55" t="s">
        <v>275</v>
      </c>
      <c r="Z29" s="55" t="s">
        <v>275</v>
      </c>
    </row>
    <row r="30" spans="1:26" x14ac:dyDescent="0.25">
      <c r="A30" s="27" t="s">
        <v>184</v>
      </c>
      <c r="B30" s="40" t="s">
        <v>185</v>
      </c>
      <c r="C30" s="40" t="s">
        <v>41</v>
      </c>
      <c r="D30" s="27" t="s">
        <v>272</v>
      </c>
      <c r="E30" s="27" t="s">
        <v>276</v>
      </c>
      <c r="F30" s="56" t="s">
        <v>275</v>
      </c>
      <c r="G30" s="56" t="s">
        <v>275</v>
      </c>
      <c r="H30" s="56" t="s">
        <v>275</v>
      </c>
      <c r="I30" s="56" t="s">
        <v>275</v>
      </c>
      <c r="J30" s="56" t="s">
        <v>275</v>
      </c>
      <c r="K30" s="56" t="s">
        <v>275</v>
      </c>
      <c r="L30" s="56" t="s">
        <v>275</v>
      </c>
      <c r="M30" s="56" t="s">
        <v>275</v>
      </c>
      <c r="N30" s="56" t="s">
        <v>275</v>
      </c>
      <c r="O30" s="56" t="s">
        <v>275</v>
      </c>
      <c r="P30" s="56" t="s">
        <v>275</v>
      </c>
      <c r="Q30" s="59" t="s">
        <v>274</v>
      </c>
      <c r="R30" s="59" t="s">
        <v>274</v>
      </c>
      <c r="S30" s="56" t="s">
        <v>275</v>
      </c>
      <c r="T30" s="56" t="s">
        <v>275</v>
      </c>
      <c r="U30" s="56" t="s">
        <v>275</v>
      </c>
      <c r="V30" s="56" t="s">
        <v>275</v>
      </c>
      <c r="W30" s="56" t="s">
        <v>275</v>
      </c>
      <c r="X30" s="56" t="s">
        <v>275</v>
      </c>
      <c r="Y30" s="56" t="s">
        <v>275</v>
      </c>
      <c r="Z30" s="56" t="s">
        <v>275</v>
      </c>
    </row>
    <row r="31" spans="1:26" x14ac:dyDescent="0.25">
      <c r="A31" s="21" t="s">
        <v>187</v>
      </c>
      <c r="B31" s="31" t="s">
        <v>188</v>
      </c>
      <c r="C31" s="31" t="s">
        <v>41</v>
      </c>
      <c r="D31" s="21" t="s">
        <v>272</v>
      </c>
      <c r="E31" s="21" t="s">
        <v>276</v>
      </c>
      <c r="F31" s="55" t="s">
        <v>275</v>
      </c>
      <c r="G31" s="55" t="s">
        <v>275</v>
      </c>
      <c r="H31" s="55" t="s">
        <v>275</v>
      </c>
      <c r="I31" s="55" t="s">
        <v>275</v>
      </c>
      <c r="J31" s="55" t="s">
        <v>275</v>
      </c>
      <c r="K31" s="55" t="s">
        <v>275</v>
      </c>
      <c r="L31" s="55" t="s">
        <v>275</v>
      </c>
      <c r="M31" s="55" t="s">
        <v>275</v>
      </c>
      <c r="N31" s="55" t="s">
        <v>275</v>
      </c>
      <c r="O31" s="55" t="s">
        <v>275</v>
      </c>
      <c r="P31" s="55" t="s">
        <v>275</v>
      </c>
      <c r="Q31" s="59" t="s">
        <v>274</v>
      </c>
      <c r="R31" s="59" t="s">
        <v>274</v>
      </c>
      <c r="S31" s="55" t="s">
        <v>275</v>
      </c>
      <c r="T31" s="55" t="s">
        <v>275</v>
      </c>
      <c r="U31" s="55" t="s">
        <v>275</v>
      </c>
      <c r="V31" s="55" t="s">
        <v>275</v>
      </c>
      <c r="W31" s="55" t="s">
        <v>275</v>
      </c>
      <c r="X31" s="55" t="s">
        <v>275</v>
      </c>
      <c r="Y31" s="55" t="s">
        <v>275</v>
      </c>
      <c r="Z31" s="55" t="s">
        <v>275</v>
      </c>
    </row>
    <row r="32" spans="1:26" x14ac:dyDescent="0.25">
      <c r="A32" s="27" t="s">
        <v>190</v>
      </c>
      <c r="B32" s="40" t="s">
        <v>191</v>
      </c>
      <c r="C32" s="40" t="s">
        <v>41</v>
      </c>
      <c r="D32" s="27" t="s">
        <v>272</v>
      </c>
      <c r="E32" s="27" t="s">
        <v>276</v>
      </c>
      <c r="F32" s="56" t="s">
        <v>275</v>
      </c>
      <c r="G32" s="56" t="s">
        <v>275</v>
      </c>
      <c r="H32" s="56" t="s">
        <v>275</v>
      </c>
      <c r="I32" s="56" t="s">
        <v>275</v>
      </c>
      <c r="J32" s="56" t="s">
        <v>275</v>
      </c>
      <c r="K32" s="56" t="s">
        <v>275</v>
      </c>
      <c r="L32" s="56" t="s">
        <v>275</v>
      </c>
      <c r="M32" s="56" t="s">
        <v>275</v>
      </c>
      <c r="N32" s="56" t="s">
        <v>275</v>
      </c>
      <c r="O32" s="56" t="s">
        <v>275</v>
      </c>
      <c r="P32" s="56" t="s">
        <v>275</v>
      </c>
      <c r="Q32" s="59" t="s">
        <v>274</v>
      </c>
      <c r="R32" s="59" t="s">
        <v>274</v>
      </c>
      <c r="S32" s="56" t="s">
        <v>275</v>
      </c>
      <c r="T32" s="56" t="s">
        <v>275</v>
      </c>
      <c r="U32" s="56" t="s">
        <v>275</v>
      </c>
      <c r="V32" s="56" t="s">
        <v>275</v>
      </c>
      <c r="W32" s="56" t="s">
        <v>275</v>
      </c>
      <c r="X32" s="56" t="s">
        <v>275</v>
      </c>
      <c r="Y32" s="56" t="s">
        <v>275</v>
      </c>
      <c r="Z32" s="56" t="s">
        <v>275</v>
      </c>
    </row>
    <row r="33" spans="1:26" x14ac:dyDescent="0.25">
      <c r="A33" s="21" t="s">
        <v>193</v>
      </c>
      <c r="B33" s="31" t="s">
        <v>194</v>
      </c>
      <c r="C33" s="31" t="s">
        <v>29</v>
      </c>
      <c r="D33" s="21" t="s">
        <v>272</v>
      </c>
      <c r="E33" s="21" t="s">
        <v>276</v>
      </c>
      <c r="F33" s="55" t="s">
        <v>275</v>
      </c>
      <c r="G33" s="55" t="s">
        <v>275</v>
      </c>
      <c r="H33" s="55" t="s">
        <v>275</v>
      </c>
      <c r="I33" s="55" t="s">
        <v>275</v>
      </c>
      <c r="J33" s="55" t="s">
        <v>275</v>
      </c>
      <c r="K33" s="55" t="s">
        <v>275</v>
      </c>
      <c r="L33" s="55" t="s">
        <v>275</v>
      </c>
      <c r="M33" s="55" t="s">
        <v>275</v>
      </c>
      <c r="N33" s="55" t="s">
        <v>275</v>
      </c>
      <c r="O33" s="55" t="s">
        <v>275</v>
      </c>
      <c r="P33" s="55" t="s">
        <v>275</v>
      </c>
      <c r="Q33" s="54" t="s">
        <v>274</v>
      </c>
      <c r="R33" s="54" t="s">
        <v>274</v>
      </c>
      <c r="S33" s="55" t="s">
        <v>275</v>
      </c>
      <c r="T33" s="55" t="s">
        <v>275</v>
      </c>
      <c r="U33" s="55" t="s">
        <v>275</v>
      </c>
      <c r="V33" s="55" t="s">
        <v>275</v>
      </c>
      <c r="W33" s="55" t="s">
        <v>275</v>
      </c>
      <c r="X33" s="55" t="s">
        <v>275</v>
      </c>
      <c r="Y33" s="55" t="s">
        <v>275</v>
      </c>
      <c r="Z33" s="55" t="s">
        <v>275</v>
      </c>
    </row>
    <row r="34" spans="1:26" x14ac:dyDescent="0.25">
      <c r="A34" s="27" t="s">
        <v>197</v>
      </c>
      <c r="B34" s="40" t="s">
        <v>198</v>
      </c>
      <c r="C34" s="40" t="s">
        <v>29</v>
      </c>
      <c r="D34" s="27" t="s">
        <v>272</v>
      </c>
      <c r="E34" s="27" t="s">
        <v>273</v>
      </c>
      <c r="F34" s="56" t="s">
        <v>275</v>
      </c>
      <c r="G34" s="56" t="s">
        <v>275</v>
      </c>
      <c r="H34" s="56" t="s">
        <v>275</v>
      </c>
      <c r="I34" s="56" t="s">
        <v>275</v>
      </c>
      <c r="J34" s="56" t="s">
        <v>275</v>
      </c>
      <c r="K34" s="56" t="s">
        <v>275</v>
      </c>
      <c r="L34" s="56" t="s">
        <v>275</v>
      </c>
      <c r="M34" s="56" t="s">
        <v>275</v>
      </c>
      <c r="N34" s="56" t="s">
        <v>275</v>
      </c>
      <c r="O34" s="56" t="s">
        <v>275</v>
      </c>
      <c r="P34" s="56" t="s">
        <v>275</v>
      </c>
      <c r="Q34" s="56" t="s">
        <v>275</v>
      </c>
      <c r="R34" s="54" t="s">
        <v>274</v>
      </c>
      <c r="S34" s="54" t="s">
        <v>274</v>
      </c>
      <c r="T34" s="56" t="s">
        <v>275</v>
      </c>
      <c r="U34" s="56" t="s">
        <v>275</v>
      </c>
      <c r="V34" s="56" t="s">
        <v>275</v>
      </c>
      <c r="W34" s="56" t="s">
        <v>275</v>
      </c>
      <c r="X34" s="56" t="s">
        <v>275</v>
      </c>
      <c r="Y34" s="56" t="s">
        <v>275</v>
      </c>
      <c r="Z34" s="56" t="s">
        <v>275</v>
      </c>
    </row>
    <row r="35" spans="1:26" x14ac:dyDescent="0.25">
      <c r="A35" s="21" t="s">
        <v>200</v>
      </c>
      <c r="B35" s="31" t="s">
        <v>201</v>
      </c>
      <c r="C35" s="31" t="s">
        <v>29</v>
      </c>
      <c r="D35" s="21" t="s">
        <v>272</v>
      </c>
      <c r="E35" s="21" t="s">
        <v>273</v>
      </c>
      <c r="F35" s="55" t="s">
        <v>275</v>
      </c>
      <c r="G35" s="55" t="s">
        <v>275</v>
      </c>
      <c r="H35" s="55" t="s">
        <v>275</v>
      </c>
      <c r="I35" s="55" t="s">
        <v>275</v>
      </c>
      <c r="J35" s="55" t="s">
        <v>275</v>
      </c>
      <c r="K35" s="55" t="s">
        <v>275</v>
      </c>
      <c r="L35" s="55" t="s">
        <v>275</v>
      </c>
      <c r="M35" s="55" t="s">
        <v>275</v>
      </c>
      <c r="N35" s="55" t="s">
        <v>275</v>
      </c>
      <c r="O35" s="55" t="s">
        <v>275</v>
      </c>
      <c r="P35" s="55" t="s">
        <v>275</v>
      </c>
      <c r="Q35" s="55" t="s">
        <v>275</v>
      </c>
      <c r="R35" s="54" t="s">
        <v>274</v>
      </c>
      <c r="S35" s="54" t="s">
        <v>274</v>
      </c>
      <c r="T35" s="55" t="s">
        <v>275</v>
      </c>
      <c r="U35" s="55" t="s">
        <v>275</v>
      </c>
      <c r="V35" s="55" t="s">
        <v>275</v>
      </c>
      <c r="W35" s="55" t="s">
        <v>275</v>
      </c>
      <c r="X35" s="55" t="s">
        <v>275</v>
      </c>
      <c r="Y35" s="55" t="s">
        <v>275</v>
      </c>
      <c r="Z35" s="55" t="s">
        <v>275</v>
      </c>
    </row>
    <row r="36" spans="1:26" x14ac:dyDescent="0.25">
      <c r="A36" s="27" t="s">
        <v>203</v>
      </c>
      <c r="B36" s="40" t="s">
        <v>204</v>
      </c>
      <c r="C36" s="40" t="s">
        <v>29</v>
      </c>
      <c r="D36" s="27" t="s">
        <v>272</v>
      </c>
      <c r="E36" s="27" t="s">
        <v>276</v>
      </c>
      <c r="F36" s="56" t="s">
        <v>275</v>
      </c>
      <c r="G36" s="56" t="s">
        <v>275</v>
      </c>
      <c r="H36" s="56" t="s">
        <v>275</v>
      </c>
      <c r="I36" s="56" t="s">
        <v>275</v>
      </c>
      <c r="J36" s="56" t="s">
        <v>275</v>
      </c>
      <c r="K36" s="56" t="s">
        <v>275</v>
      </c>
      <c r="L36" s="56" t="s">
        <v>275</v>
      </c>
      <c r="M36" s="56" t="s">
        <v>275</v>
      </c>
      <c r="N36" s="56" t="s">
        <v>275</v>
      </c>
      <c r="O36" s="56" t="s">
        <v>275</v>
      </c>
      <c r="P36" s="56" t="s">
        <v>275</v>
      </c>
      <c r="Q36" s="56" t="s">
        <v>275</v>
      </c>
      <c r="R36" s="56" t="s">
        <v>275</v>
      </c>
      <c r="S36" s="54" t="s">
        <v>274</v>
      </c>
      <c r="T36" s="54" t="s">
        <v>274</v>
      </c>
      <c r="U36" s="56" t="s">
        <v>275</v>
      </c>
      <c r="V36" s="56" t="s">
        <v>275</v>
      </c>
      <c r="W36" s="56" t="s">
        <v>275</v>
      </c>
      <c r="X36" s="56" t="s">
        <v>275</v>
      </c>
      <c r="Y36" s="56" t="s">
        <v>275</v>
      </c>
      <c r="Z36" s="56" t="s">
        <v>275</v>
      </c>
    </row>
    <row r="37" spans="1:26" x14ac:dyDescent="0.25">
      <c r="A37" s="21" t="s">
        <v>206</v>
      </c>
      <c r="B37" s="31" t="s">
        <v>208</v>
      </c>
      <c r="C37" s="31" t="s">
        <v>29</v>
      </c>
      <c r="D37" s="21" t="s">
        <v>272</v>
      </c>
      <c r="E37" s="21" t="s">
        <v>276</v>
      </c>
      <c r="F37" s="55" t="s">
        <v>275</v>
      </c>
      <c r="G37" s="55" t="s">
        <v>275</v>
      </c>
      <c r="H37" s="55" t="s">
        <v>275</v>
      </c>
      <c r="I37" s="55" t="s">
        <v>275</v>
      </c>
      <c r="J37" s="55" t="s">
        <v>275</v>
      </c>
      <c r="K37" s="55" t="s">
        <v>275</v>
      </c>
      <c r="L37" s="55" t="s">
        <v>275</v>
      </c>
      <c r="M37" s="55" t="s">
        <v>275</v>
      </c>
      <c r="N37" s="55" t="s">
        <v>275</v>
      </c>
      <c r="O37" s="55" t="s">
        <v>275</v>
      </c>
      <c r="P37" s="55" t="s">
        <v>275</v>
      </c>
      <c r="Q37" s="55" t="s">
        <v>275</v>
      </c>
      <c r="R37" s="55" t="s">
        <v>275</v>
      </c>
      <c r="S37" s="54" t="s">
        <v>274</v>
      </c>
      <c r="T37" s="54" t="s">
        <v>274</v>
      </c>
      <c r="U37" s="55" t="s">
        <v>275</v>
      </c>
      <c r="V37" s="55" t="s">
        <v>275</v>
      </c>
      <c r="W37" s="55" t="s">
        <v>275</v>
      </c>
      <c r="X37" s="55" t="s">
        <v>275</v>
      </c>
      <c r="Y37" s="55" t="s">
        <v>275</v>
      </c>
      <c r="Z37" s="55" t="s">
        <v>275</v>
      </c>
    </row>
    <row r="38" spans="1:26" x14ac:dyDescent="0.25">
      <c r="A38" s="27" t="s">
        <v>210</v>
      </c>
      <c r="B38" s="40" t="s">
        <v>211</v>
      </c>
      <c r="C38" s="40" t="s">
        <v>36</v>
      </c>
      <c r="D38" s="27" t="s">
        <v>272</v>
      </c>
      <c r="E38" s="27" t="s">
        <v>276</v>
      </c>
      <c r="F38" s="56" t="s">
        <v>275</v>
      </c>
      <c r="G38" s="56" t="s">
        <v>275</v>
      </c>
      <c r="H38" s="56" t="s">
        <v>275</v>
      </c>
      <c r="I38" s="56" t="s">
        <v>275</v>
      </c>
      <c r="J38" s="56" t="s">
        <v>275</v>
      </c>
      <c r="K38" s="56" t="s">
        <v>275</v>
      </c>
      <c r="L38" s="56" t="s">
        <v>275</v>
      </c>
      <c r="M38" s="56" t="s">
        <v>275</v>
      </c>
      <c r="N38" s="56" t="s">
        <v>275</v>
      </c>
      <c r="O38" s="56" t="s">
        <v>275</v>
      </c>
      <c r="P38" s="56" t="s">
        <v>275</v>
      </c>
      <c r="Q38" s="56" t="s">
        <v>275</v>
      </c>
      <c r="R38" s="56" t="s">
        <v>275</v>
      </c>
      <c r="S38" s="56" t="s">
        <v>275</v>
      </c>
      <c r="T38" s="60" t="s">
        <v>274</v>
      </c>
      <c r="U38" s="60" t="s">
        <v>274</v>
      </c>
      <c r="V38" s="56" t="s">
        <v>275</v>
      </c>
      <c r="W38" s="56" t="s">
        <v>275</v>
      </c>
      <c r="X38" s="56" t="s">
        <v>275</v>
      </c>
      <c r="Y38" s="56" t="s">
        <v>275</v>
      </c>
      <c r="Z38" s="56" t="s">
        <v>275</v>
      </c>
    </row>
    <row r="39" spans="1:26" x14ac:dyDescent="0.25">
      <c r="A39" s="21" t="s">
        <v>213</v>
      </c>
      <c r="B39" s="31" t="s">
        <v>214</v>
      </c>
      <c r="C39" s="31" t="s">
        <v>36</v>
      </c>
      <c r="D39" s="21" t="s">
        <v>272</v>
      </c>
      <c r="E39" s="21" t="s">
        <v>276</v>
      </c>
      <c r="F39" s="55" t="s">
        <v>275</v>
      </c>
      <c r="G39" s="55" t="s">
        <v>275</v>
      </c>
      <c r="H39" s="55" t="s">
        <v>275</v>
      </c>
      <c r="I39" s="55" t="s">
        <v>275</v>
      </c>
      <c r="J39" s="55" t="s">
        <v>275</v>
      </c>
      <c r="K39" s="55" t="s">
        <v>275</v>
      </c>
      <c r="L39" s="55" t="s">
        <v>275</v>
      </c>
      <c r="M39" s="55" t="s">
        <v>275</v>
      </c>
      <c r="N39" s="55" t="s">
        <v>275</v>
      </c>
      <c r="O39" s="55" t="s">
        <v>275</v>
      </c>
      <c r="P39" s="55" t="s">
        <v>275</v>
      </c>
      <c r="Q39" s="55" t="s">
        <v>275</v>
      </c>
      <c r="R39" s="55" t="s">
        <v>275</v>
      </c>
      <c r="S39" s="55" t="s">
        <v>275</v>
      </c>
      <c r="T39" s="60" t="s">
        <v>274</v>
      </c>
      <c r="U39" s="60" t="s">
        <v>274</v>
      </c>
      <c r="V39" s="55" t="s">
        <v>275</v>
      </c>
      <c r="W39" s="55" t="s">
        <v>275</v>
      </c>
      <c r="X39" s="55" t="s">
        <v>275</v>
      </c>
      <c r="Y39" s="55" t="s">
        <v>275</v>
      </c>
      <c r="Z39" s="55" t="s">
        <v>275</v>
      </c>
    </row>
    <row r="40" spans="1:26" x14ac:dyDescent="0.25">
      <c r="A40" s="27" t="s">
        <v>216</v>
      </c>
      <c r="B40" s="40" t="s">
        <v>217</v>
      </c>
      <c r="C40" s="40" t="s">
        <v>36</v>
      </c>
      <c r="D40" s="27" t="s">
        <v>272</v>
      </c>
      <c r="E40" s="27" t="s">
        <v>273</v>
      </c>
      <c r="F40" s="56" t="s">
        <v>275</v>
      </c>
      <c r="G40" s="56" t="s">
        <v>275</v>
      </c>
      <c r="H40" s="56" t="s">
        <v>275</v>
      </c>
      <c r="I40" s="56" t="s">
        <v>275</v>
      </c>
      <c r="J40" s="56" t="s">
        <v>275</v>
      </c>
      <c r="K40" s="56" t="s">
        <v>275</v>
      </c>
      <c r="L40" s="56" t="s">
        <v>275</v>
      </c>
      <c r="M40" s="56" t="s">
        <v>275</v>
      </c>
      <c r="N40" s="56" t="s">
        <v>275</v>
      </c>
      <c r="O40" s="56" t="s">
        <v>275</v>
      </c>
      <c r="P40" s="56" t="s">
        <v>275</v>
      </c>
      <c r="Q40" s="56" t="s">
        <v>275</v>
      </c>
      <c r="R40" s="56" t="s">
        <v>275</v>
      </c>
      <c r="S40" s="56" t="s">
        <v>275</v>
      </c>
      <c r="T40" s="60" t="s">
        <v>274</v>
      </c>
      <c r="U40" s="60" t="s">
        <v>274</v>
      </c>
      <c r="V40" s="60" t="s">
        <v>274</v>
      </c>
      <c r="W40" s="56" t="s">
        <v>275</v>
      </c>
      <c r="X40" s="56" t="s">
        <v>275</v>
      </c>
      <c r="Y40" s="56" t="s">
        <v>275</v>
      </c>
      <c r="Z40" s="56" t="s">
        <v>275</v>
      </c>
    </row>
    <row r="41" spans="1:26" x14ac:dyDescent="0.25">
      <c r="A41" s="21" t="s">
        <v>219</v>
      </c>
      <c r="B41" s="31" t="s">
        <v>220</v>
      </c>
      <c r="C41" s="31" t="s">
        <v>36</v>
      </c>
      <c r="D41" s="21" t="s">
        <v>272</v>
      </c>
      <c r="E41" s="21" t="s">
        <v>276</v>
      </c>
      <c r="F41" s="55" t="s">
        <v>275</v>
      </c>
      <c r="G41" s="55" t="s">
        <v>275</v>
      </c>
      <c r="H41" s="55" t="s">
        <v>275</v>
      </c>
      <c r="I41" s="55" t="s">
        <v>275</v>
      </c>
      <c r="J41" s="55" t="s">
        <v>275</v>
      </c>
      <c r="K41" s="55" t="s">
        <v>275</v>
      </c>
      <c r="L41" s="55" t="s">
        <v>275</v>
      </c>
      <c r="M41" s="55" t="s">
        <v>275</v>
      </c>
      <c r="N41" s="55" t="s">
        <v>275</v>
      </c>
      <c r="O41" s="55" t="s">
        <v>275</v>
      </c>
      <c r="P41" s="55" t="s">
        <v>275</v>
      </c>
      <c r="Q41" s="55" t="s">
        <v>275</v>
      </c>
      <c r="R41" s="55" t="s">
        <v>275</v>
      </c>
      <c r="S41" s="55" t="s">
        <v>275</v>
      </c>
      <c r="T41" s="55" t="s">
        <v>275</v>
      </c>
      <c r="U41" s="60" t="s">
        <v>274</v>
      </c>
      <c r="V41" s="60" t="s">
        <v>274</v>
      </c>
      <c r="W41" s="55" t="s">
        <v>275</v>
      </c>
      <c r="X41" s="55" t="s">
        <v>275</v>
      </c>
      <c r="Y41" s="55" t="s">
        <v>275</v>
      </c>
      <c r="Z41" s="55" t="s">
        <v>275</v>
      </c>
    </row>
    <row r="42" spans="1:26" x14ac:dyDescent="0.25">
      <c r="A42" s="27" t="s">
        <v>222</v>
      </c>
      <c r="B42" s="40" t="s">
        <v>223</v>
      </c>
      <c r="C42" s="40" t="s">
        <v>36</v>
      </c>
      <c r="D42" s="27" t="s">
        <v>272</v>
      </c>
      <c r="E42" s="27" t="s">
        <v>276</v>
      </c>
      <c r="F42" s="56" t="s">
        <v>275</v>
      </c>
      <c r="G42" s="56" t="s">
        <v>275</v>
      </c>
      <c r="H42" s="56" t="s">
        <v>275</v>
      </c>
      <c r="I42" s="56" t="s">
        <v>275</v>
      </c>
      <c r="J42" s="56" t="s">
        <v>275</v>
      </c>
      <c r="K42" s="56" t="s">
        <v>275</v>
      </c>
      <c r="L42" s="56" t="s">
        <v>275</v>
      </c>
      <c r="M42" s="56" t="s">
        <v>275</v>
      </c>
      <c r="N42" s="56" t="s">
        <v>275</v>
      </c>
      <c r="O42" s="56" t="s">
        <v>275</v>
      </c>
      <c r="P42" s="56" t="s">
        <v>275</v>
      </c>
      <c r="Q42" s="56" t="s">
        <v>275</v>
      </c>
      <c r="R42" s="56" t="s">
        <v>275</v>
      </c>
      <c r="S42" s="56" t="s">
        <v>275</v>
      </c>
      <c r="T42" s="56" t="s">
        <v>275</v>
      </c>
      <c r="U42" s="56" t="s">
        <v>275</v>
      </c>
      <c r="V42" s="60" t="s">
        <v>274</v>
      </c>
      <c r="W42" s="60" t="s">
        <v>274</v>
      </c>
      <c r="X42" s="56" t="s">
        <v>275</v>
      </c>
      <c r="Y42" s="56" t="s">
        <v>275</v>
      </c>
      <c r="Z42" s="56" t="s">
        <v>275</v>
      </c>
    </row>
    <row r="43" spans="1:26" x14ac:dyDescent="0.25">
      <c r="A43" s="21" t="s">
        <v>225</v>
      </c>
      <c r="B43" s="31" t="s">
        <v>226</v>
      </c>
      <c r="C43" s="31" t="s">
        <v>36</v>
      </c>
      <c r="D43" s="21" t="s">
        <v>272</v>
      </c>
      <c r="E43" s="21" t="s">
        <v>276</v>
      </c>
      <c r="F43" s="55" t="s">
        <v>275</v>
      </c>
      <c r="G43" s="55" t="s">
        <v>275</v>
      </c>
      <c r="H43" s="55" t="s">
        <v>275</v>
      </c>
      <c r="I43" s="55" t="s">
        <v>275</v>
      </c>
      <c r="J43" s="55" t="s">
        <v>275</v>
      </c>
      <c r="K43" s="55" t="s">
        <v>275</v>
      </c>
      <c r="L43" s="55" t="s">
        <v>275</v>
      </c>
      <c r="M43" s="55" t="s">
        <v>275</v>
      </c>
      <c r="N43" s="55" t="s">
        <v>275</v>
      </c>
      <c r="O43" s="55" t="s">
        <v>275</v>
      </c>
      <c r="P43" s="55" t="s">
        <v>275</v>
      </c>
      <c r="Q43" s="55" t="s">
        <v>275</v>
      </c>
      <c r="R43" s="55" t="s">
        <v>275</v>
      </c>
      <c r="S43" s="55" t="s">
        <v>275</v>
      </c>
      <c r="T43" s="55" t="s">
        <v>275</v>
      </c>
      <c r="U43" s="55" t="s">
        <v>275</v>
      </c>
      <c r="V43" s="60" t="s">
        <v>274</v>
      </c>
      <c r="W43" s="60" t="s">
        <v>274</v>
      </c>
      <c r="X43" s="55" t="s">
        <v>275</v>
      </c>
      <c r="Y43" s="55" t="s">
        <v>275</v>
      </c>
      <c r="Z43" s="55" t="s">
        <v>275</v>
      </c>
    </row>
    <row r="44" spans="1:26" x14ac:dyDescent="0.25">
      <c r="A44" s="27" t="s">
        <v>228</v>
      </c>
      <c r="B44" s="40" t="s">
        <v>229</v>
      </c>
      <c r="C44" s="40" t="s">
        <v>41</v>
      </c>
      <c r="D44" s="27" t="s">
        <v>272</v>
      </c>
      <c r="E44" s="27" t="s">
        <v>276</v>
      </c>
      <c r="F44" s="56" t="s">
        <v>275</v>
      </c>
      <c r="G44" s="56" t="s">
        <v>275</v>
      </c>
      <c r="H44" s="56" t="s">
        <v>275</v>
      </c>
      <c r="I44" s="56" t="s">
        <v>275</v>
      </c>
      <c r="J44" s="56" t="s">
        <v>275</v>
      </c>
      <c r="K44" s="56" t="s">
        <v>275</v>
      </c>
      <c r="L44" s="56" t="s">
        <v>275</v>
      </c>
      <c r="M44" s="56" t="s">
        <v>275</v>
      </c>
      <c r="N44" s="56" t="s">
        <v>275</v>
      </c>
      <c r="O44" s="56" t="s">
        <v>275</v>
      </c>
      <c r="P44" s="56" t="s">
        <v>275</v>
      </c>
      <c r="Q44" s="56" t="s">
        <v>275</v>
      </c>
      <c r="R44" s="56" t="s">
        <v>275</v>
      </c>
      <c r="S44" s="56" t="s">
        <v>275</v>
      </c>
      <c r="T44" s="56" t="s">
        <v>275</v>
      </c>
      <c r="U44" s="56" t="s">
        <v>275</v>
      </c>
      <c r="V44" s="56" t="s">
        <v>275</v>
      </c>
      <c r="W44" s="59" t="s">
        <v>274</v>
      </c>
      <c r="X44" s="59" t="s">
        <v>274</v>
      </c>
      <c r="Y44" s="56" t="s">
        <v>275</v>
      </c>
      <c r="Z44" s="56" t="s">
        <v>275</v>
      </c>
    </row>
    <row r="45" spans="1:26" x14ac:dyDescent="0.25">
      <c r="A45" s="21" t="s">
        <v>231</v>
      </c>
      <c r="B45" s="31" t="s">
        <v>232</v>
      </c>
      <c r="C45" s="31" t="s">
        <v>59</v>
      </c>
      <c r="D45" s="21" t="s">
        <v>272</v>
      </c>
      <c r="E45" s="21" t="s">
        <v>273</v>
      </c>
      <c r="F45" s="55" t="s">
        <v>275</v>
      </c>
      <c r="G45" s="55" t="s">
        <v>275</v>
      </c>
      <c r="H45" s="55" t="s">
        <v>275</v>
      </c>
      <c r="I45" s="55" t="s">
        <v>275</v>
      </c>
      <c r="J45" s="55" t="s">
        <v>275</v>
      </c>
      <c r="K45" s="55" t="s">
        <v>275</v>
      </c>
      <c r="L45" s="55" t="s">
        <v>275</v>
      </c>
      <c r="M45" s="55" t="s">
        <v>275</v>
      </c>
      <c r="N45" s="55" t="s">
        <v>275</v>
      </c>
      <c r="O45" s="55" t="s">
        <v>275</v>
      </c>
      <c r="P45" s="55" t="s">
        <v>275</v>
      </c>
      <c r="Q45" s="55" t="s">
        <v>275</v>
      </c>
      <c r="R45" s="55" t="s">
        <v>275</v>
      </c>
      <c r="S45" s="55" t="s">
        <v>275</v>
      </c>
      <c r="T45" s="55" t="s">
        <v>275</v>
      </c>
      <c r="U45" s="55" t="s">
        <v>275</v>
      </c>
      <c r="V45" s="55" t="s">
        <v>275</v>
      </c>
      <c r="W45" s="61" t="s">
        <v>274</v>
      </c>
      <c r="X45" s="61" t="s">
        <v>274</v>
      </c>
      <c r="Y45" s="55" t="s">
        <v>275</v>
      </c>
      <c r="Z45" s="55" t="s">
        <v>275</v>
      </c>
    </row>
    <row r="46" spans="1:26" x14ac:dyDescent="0.25">
      <c r="A46" s="27" t="s">
        <v>235</v>
      </c>
      <c r="B46" s="40" t="s">
        <v>236</v>
      </c>
      <c r="C46" s="40" t="s">
        <v>59</v>
      </c>
      <c r="D46" s="27" t="s">
        <v>272</v>
      </c>
      <c r="E46" s="27" t="s">
        <v>273</v>
      </c>
      <c r="F46" s="56" t="s">
        <v>275</v>
      </c>
      <c r="G46" s="56" t="s">
        <v>275</v>
      </c>
      <c r="H46" s="56" t="s">
        <v>275</v>
      </c>
      <c r="I46" s="56" t="s">
        <v>275</v>
      </c>
      <c r="J46" s="56" t="s">
        <v>275</v>
      </c>
      <c r="K46" s="56" t="s">
        <v>275</v>
      </c>
      <c r="L46" s="56" t="s">
        <v>275</v>
      </c>
      <c r="M46" s="56" t="s">
        <v>275</v>
      </c>
      <c r="N46" s="56" t="s">
        <v>275</v>
      </c>
      <c r="O46" s="56" t="s">
        <v>275</v>
      </c>
      <c r="P46" s="56" t="s">
        <v>275</v>
      </c>
      <c r="Q46" s="56" t="s">
        <v>275</v>
      </c>
      <c r="R46" s="56" t="s">
        <v>275</v>
      </c>
      <c r="S46" s="56" t="s">
        <v>275</v>
      </c>
      <c r="T46" s="56" t="s">
        <v>275</v>
      </c>
      <c r="U46" s="56" t="s">
        <v>275</v>
      </c>
      <c r="V46" s="56" t="s">
        <v>275</v>
      </c>
      <c r="W46" s="56" t="s">
        <v>275</v>
      </c>
      <c r="X46" s="61" t="s">
        <v>274</v>
      </c>
      <c r="Y46" s="61" t="s">
        <v>274</v>
      </c>
      <c r="Z46" s="56" t="s">
        <v>275</v>
      </c>
    </row>
    <row r="47" spans="1:26" x14ac:dyDescent="0.25">
      <c r="A47" s="21" t="s">
        <v>238</v>
      </c>
      <c r="B47" s="31" t="s">
        <v>239</v>
      </c>
      <c r="C47" s="31" t="s">
        <v>65</v>
      </c>
      <c r="D47" s="21" t="s">
        <v>272</v>
      </c>
      <c r="E47" s="21" t="s">
        <v>273</v>
      </c>
      <c r="F47" s="55" t="s">
        <v>275</v>
      </c>
      <c r="G47" s="55" t="s">
        <v>275</v>
      </c>
      <c r="H47" s="55" t="s">
        <v>275</v>
      </c>
      <c r="I47" s="55" t="s">
        <v>275</v>
      </c>
      <c r="J47" s="55" t="s">
        <v>275</v>
      </c>
      <c r="K47" s="55" t="s">
        <v>275</v>
      </c>
      <c r="L47" s="55" t="s">
        <v>275</v>
      </c>
      <c r="M47" s="55" t="s">
        <v>275</v>
      </c>
      <c r="N47" s="55" t="s">
        <v>275</v>
      </c>
      <c r="O47" s="55" t="s">
        <v>275</v>
      </c>
      <c r="P47" s="55" t="s">
        <v>275</v>
      </c>
      <c r="Q47" s="55" t="s">
        <v>275</v>
      </c>
      <c r="R47" s="55" t="s">
        <v>275</v>
      </c>
      <c r="S47" s="55" t="s">
        <v>275</v>
      </c>
      <c r="T47" s="55" t="s">
        <v>275</v>
      </c>
      <c r="U47" s="55" t="s">
        <v>275</v>
      </c>
      <c r="V47" s="55" t="s">
        <v>275</v>
      </c>
      <c r="W47" s="55" t="s">
        <v>275</v>
      </c>
      <c r="X47" s="55" t="s">
        <v>275</v>
      </c>
      <c r="Y47" s="62" t="s">
        <v>274</v>
      </c>
      <c r="Z47" s="62" t="s">
        <v>274</v>
      </c>
    </row>
  </sheetData>
  <mergeCells count="4">
    <mergeCell ref="A1:E1"/>
    <mergeCell ref="F1:L1"/>
    <mergeCell ref="M1:S1"/>
    <mergeCell ref="T1:Z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M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3" width="28" customWidth="1"/>
    <col min="4" max="4" width="18" customWidth="1"/>
    <col min="5" max="7" width="16" customWidth="1"/>
    <col min="8" max="8" width="18" customWidth="1"/>
    <col min="9" max="9" width="14" customWidth="1"/>
    <col min="10" max="10" width="24" customWidth="1"/>
    <col min="11" max="11" width="16" customWidth="1"/>
    <col min="12" max="12" width="20" customWidth="1"/>
    <col min="13" max="13" width="55" customWidth="1"/>
  </cols>
  <sheetData>
    <row r="1" spans="1:13" x14ac:dyDescent="0.25">
      <c r="A1" s="30" t="s">
        <v>18</v>
      </c>
      <c r="B1" s="30" t="s">
        <v>277</v>
      </c>
      <c r="C1" s="30" t="s">
        <v>278</v>
      </c>
      <c r="D1" s="30" t="s">
        <v>279</v>
      </c>
      <c r="E1" s="30" t="s">
        <v>21</v>
      </c>
      <c r="F1" s="30" t="s">
        <v>22</v>
      </c>
      <c r="G1" s="30" t="s">
        <v>23</v>
      </c>
      <c r="H1" s="30" t="s">
        <v>24</v>
      </c>
      <c r="I1" s="30" t="s">
        <v>280</v>
      </c>
      <c r="J1" s="30" t="s">
        <v>281</v>
      </c>
      <c r="K1" s="30" t="s">
        <v>25</v>
      </c>
      <c r="L1" s="30" t="s">
        <v>26</v>
      </c>
      <c r="M1" s="30" t="s">
        <v>282</v>
      </c>
    </row>
    <row r="2" spans="1:13" x14ac:dyDescent="0.25">
      <c r="A2" s="21" t="s">
        <v>28</v>
      </c>
      <c r="B2" s="22" t="s">
        <v>29</v>
      </c>
      <c r="C2" s="31" t="s">
        <v>283</v>
      </c>
      <c r="D2" s="63" t="s">
        <v>284</v>
      </c>
      <c r="E2" s="24" t="s">
        <v>285</v>
      </c>
      <c r="F2" s="24" t="s">
        <v>285</v>
      </c>
      <c r="G2" s="24" t="s">
        <v>285</v>
      </c>
      <c r="H2" s="24" t="s">
        <v>32</v>
      </c>
      <c r="I2" s="64">
        <v>1</v>
      </c>
      <c r="J2" s="65" t="s">
        <v>286</v>
      </c>
      <c r="K2" s="25" t="s">
        <v>33</v>
      </c>
      <c r="L2" s="26" t="s">
        <v>34</v>
      </c>
      <c r="M2" s="31" t="s">
        <v>287</v>
      </c>
    </row>
    <row r="3" spans="1:13" x14ac:dyDescent="0.25">
      <c r="A3" s="27" t="s">
        <v>35</v>
      </c>
      <c r="B3" s="28" t="s">
        <v>36</v>
      </c>
      <c r="C3" s="40" t="s">
        <v>288</v>
      </c>
      <c r="D3" s="63" t="s">
        <v>284</v>
      </c>
      <c r="E3" s="29" t="s">
        <v>285</v>
      </c>
      <c r="F3" s="29" t="s">
        <v>285</v>
      </c>
      <c r="G3" s="29" t="s">
        <v>285</v>
      </c>
      <c r="H3" s="29" t="s">
        <v>32</v>
      </c>
      <c r="I3" s="66">
        <v>1</v>
      </c>
      <c r="J3" s="67" t="s">
        <v>289</v>
      </c>
      <c r="K3" s="25" t="s">
        <v>38</v>
      </c>
      <c r="L3" s="26" t="s">
        <v>39</v>
      </c>
      <c r="M3" s="40" t="s">
        <v>290</v>
      </c>
    </row>
    <row r="4" spans="1:13" x14ac:dyDescent="0.25">
      <c r="A4" s="21" t="s">
        <v>40</v>
      </c>
      <c r="B4" s="22" t="s">
        <v>41</v>
      </c>
      <c r="C4" s="31" t="s">
        <v>291</v>
      </c>
      <c r="D4" s="63" t="s">
        <v>284</v>
      </c>
      <c r="E4" s="24" t="s">
        <v>61</v>
      </c>
      <c r="F4" s="24" t="s">
        <v>61</v>
      </c>
      <c r="G4" s="24" t="s">
        <v>61</v>
      </c>
      <c r="H4" s="24" t="s">
        <v>32</v>
      </c>
      <c r="I4" s="64">
        <v>0.2</v>
      </c>
      <c r="J4" s="65" t="s">
        <v>292</v>
      </c>
      <c r="K4" s="25" t="s">
        <v>43</v>
      </c>
      <c r="L4" s="26" t="s">
        <v>44</v>
      </c>
      <c r="M4" s="31" t="s">
        <v>293</v>
      </c>
    </row>
    <row r="5" spans="1:13" x14ac:dyDescent="0.25">
      <c r="A5" s="27" t="s">
        <v>45</v>
      </c>
      <c r="B5" s="28" t="s">
        <v>46</v>
      </c>
      <c r="C5" s="40" t="s">
        <v>294</v>
      </c>
      <c r="D5" s="63" t="s">
        <v>284</v>
      </c>
      <c r="E5" s="29" t="s">
        <v>61</v>
      </c>
      <c r="F5" s="29" t="s">
        <v>61</v>
      </c>
      <c r="G5" s="29" t="s">
        <v>61</v>
      </c>
      <c r="H5" s="29" t="s">
        <v>32</v>
      </c>
      <c r="I5" s="66">
        <v>0.2</v>
      </c>
      <c r="J5" s="67" t="s">
        <v>292</v>
      </c>
      <c r="K5" s="25" t="s">
        <v>48</v>
      </c>
      <c r="L5" s="26" t="s">
        <v>43</v>
      </c>
      <c r="M5" s="40" t="s">
        <v>295</v>
      </c>
    </row>
    <row r="6" spans="1:13" x14ac:dyDescent="0.25">
      <c r="A6" s="21" t="s">
        <v>49</v>
      </c>
      <c r="B6" s="22" t="s">
        <v>50</v>
      </c>
      <c r="C6" s="31" t="s">
        <v>296</v>
      </c>
      <c r="D6" s="63" t="s">
        <v>284</v>
      </c>
      <c r="E6" s="24" t="s">
        <v>61</v>
      </c>
      <c r="F6" s="24" t="s">
        <v>61</v>
      </c>
      <c r="G6" s="24" t="s">
        <v>61</v>
      </c>
      <c r="H6" s="24" t="s">
        <v>32</v>
      </c>
      <c r="I6" s="64">
        <v>0.2</v>
      </c>
      <c r="J6" s="65" t="s">
        <v>297</v>
      </c>
      <c r="K6" s="25" t="s">
        <v>52</v>
      </c>
      <c r="L6" s="26" t="s">
        <v>53</v>
      </c>
      <c r="M6" s="31" t="s">
        <v>298</v>
      </c>
    </row>
    <row r="7" spans="1:13" x14ac:dyDescent="0.25">
      <c r="A7" s="27" t="s">
        <v>54</v>
      </c>
      <c r="B7" s="28" t="s">
        <v>55</v>
      </c>
      <c r="C7" s="40" t="s">
        <v>299</v>
      </c>
      <c r="D7" s="63" t="s">
        <v>284</v>
      </c>
      <c r="E7" s="29" t="s">
        <v>61</v>
      </c>
      <c r="F7" s="29" t="s">
        <v>61</v>
      </c>
      <c r="G7" s="29" t="s">
        <v>61</v>
      </c>
      <c r="H7" s="29" t="s">
        <v>32</v>
      </c>
      <c r="I7" s="66">
        <v>0.2</v>
      </c>
      <c r="J7" s="67" t="s">
        <v>300</v>
      </c>
      <c r="K7" s="25" t="s">
        <v>57</v>
      </c>
      <c r="L7" s="26" t="s">
        <v>48</v>
      </c>
      <c r="M7" s="40" t="s">
        <v>301</v>
      </c>
    </row>
    <row r="8" spans="1:13" x14ac:dyDescent="0.25">
      <c r="A8" s="21" t="s">
        <v>58</v>
      </c>
      <c r="B8" s="22" t="s">
        <v>59</v>
      </c>
      <c r="C8" s="31" t="s">
        <v>302</v>
      </c>
      <c r="D8" s="63" t="s">
        <v>284</v>
      </c>
      <c r="E8" s="24" t="s">
        <v>61</v>
      </c>
      <c r="F8" s="24" t="s">
        <v>61</v>
      </c>
      <c r="G8" s="24" t="s">
        <v>61</v>
      </c>
      <c r="H8" s="24" t="s">
        <v>32</v>
      </c>
      <c r="I8" s="64">
        <v>0</v>
      </c>
      <c r="J8" s="65" t="s">
        <v>303</v>
      </c>
      <c r="K8" s="25" t="s">
        <v>62</v>
      </c>
      <c r="L8" s="26" t="s">
        <v>63</v>
      </c>
      <c r="M8" s="31" t="s">
        <v>304</v>
      </c>
    </row>
    <row r="9" spans="1:13" x14ac:dyDescent="0.25">
      <c r="A9" s="27" t="s">
        <v>64</v>
      </c>
      <c r="B9" s="28" t="s">
        <v>65</v>
      </c>
      <c r="C9" s="40" t="s">
        <v>305</v>
      </c>
      <c r="D9" s="63" t="s">
        <v>284</v>
      </c>
      <c r="E9" s="29" t="s">
        <v>61</v>
      </c>
      <c r="F9" s="29" t="s">
        <v>61</v>
      </c>
      <c r="G9" s="29" t="s">
        <v>61</v>
      </c>
      <c r="H9" s="29" t="s">
        <v>32</v>
      </c>
      <c r="I9" s="66">
        <v>0</v>
      </c>
      <c r="J9" s="67" t="s">
        <v>303</v>
      </c>
      <c r="K9" s="25" t="s">
        <v>67</v>
      </c>
      <c r="L9" s="26" t="s">
        <v>68</v>
      </c>
      <c r="M9" s="40" t="s">
        <v>306</v>
      </c>
    </row>
    <row r="10" spans="1:13" x14ac:dyDescent="0.25">
      <c r="A10" s="21" t="s">
        <v>69</v>
      </c>
      <c r="B10" s="22" t="s">
        <v>70</v>
      </c>
      <c r="C10" s="31" t="s">
        <v>307</v>
      </c>
      <c r="D10" s="63" t="s">
        <v>284</v>
      </c>
      <c r="E10" s="24" t="s">
        <v>61</v>
      </c>
      <c r="F10" s="24" t="s">
        <v>61</v>
      </c>
      <c r="G10" s="24" t="s">
        <v>61</v>
      </c>
      <c r="H10" s="24" t="s">
        <v>32</v>
      </c>
      <c r="I10" s="64">
        <v>0</v>
      </c>
      <c r="J10" s="65" t="s">
        <v>303</v>
      </c>
      <c r="K10" s="25" t="s">
        <v>67</v>
      </c>
      <c r="L10" s="26" t="s">
        <v>72</v>
      </c>
      <c r="M10" s="31" t="s">
        <v>308</v>
      </c>
    </row>
  </sheetData>
  <autoFilter ref="A1:M1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I5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8" customWidth="1"/>
    <col min="3" max="3" width="44" customWidth="1"/>
    <col min="4" max="4" width="30" customWidth="1"/>
    <col min="5" max="5" width="36" customWidth="1"/>
    <col min="6" max="6" width="18" customWidth="1"/>
    <col min="7" max="7" width="24" customWidth="1"/>
    <col min="8" max="8" width="22" customWidth="1"/>
    <col min="9" max="9" width="55" customWidth="1"/>
  </cols>
  <sheetData>
    <row r="1" spans="1:9" x14ac:dyDescent="0.25">
      <c r="A1" s="30" t="s">
        <v>309</v>
      </c>
      <c r="B1" s="30" t="s">
        <v>19</v>
      </c>
      <c r="C1" s="30" t="s">
        <v>310</v>
      </c>
      <c r="D1" s="30" t="s">
        <v>311</v>
      </c>
      <c r="E1" s="30" t="s">
        <v>312</v>
      </c>
      <c r="F1" s="30" t="s">
        <v>313</v>
      </c>
      <c r="G1" s="30" t="s">
        <v>314</v>
      </c>
      <c r="H1" s="30" t="s">
        <v>315</v>
      </c>
      <c r="I1" s="30" t="s">
        <v>316</v>
      </c>
    </row>
    <row r="2" spans="1:9" x14ac:dyDescent="0.25">
      <c r="A2" s="21" t="s">
        <v>317</v>
      </c>
      <c r="B2" s="22" t="s">
        <v>29</v>
      </c>
      <c r="C2" s="31" t="s">
        <v>318</v>
      </c>
      <c r="D2" s="31" t="s">
        <v>319</v>
      </c>
      <c r="E2" s="31" t="s">
        <v>320</v>
      </c>
      <c r="F2" s="63" t="s">
        <v>284</v>
      </c>
      <c r="G2" s="24" t="s">
        <v>321</v>
      </c>
      <c r="H2" s="39" t="s">
        <v>322</v>
      </c>
      <c r="I2" s="31" t="s">
        <v>323</v>
      </c>
    </row>
    <row r="3" spans="1:9" x14ac:dyDescent="0.25">
      <c r="A3" s="27" t="s">
        <v>324</v>
      </c>
      <c r="B3" s="28" t="s">
        <v>29</v>
      </c>
      <c r="C3" s="40" t="s">
        <v>325</v>
      </c>
      <c r="D3" s="40" t="s">
        <v>326</v>
      </c>
      <c r="E3" s="40" t="s">
        <v>327</v>
      </c>
      <c r="F3" s="63" t="s">
        <v>284</v>
      </c>
      <c r="G3" s="29" t="s">
        <v>321</v>
      </c>
      <c r="H3" s="46" t="s">
        <v>322</v>
      </c>
      <c r="I3" s="40" t="s">
        <v>328</v>
      </c>
    </row>
    <row r="4" spans="1:9" x14ac:dyDescent="0.25">
      <c r="A4" s="21" t="s">
        <v>329</v>
      </c>
      <c r="B4" s="22" t="s">
        <v>29</v>
      </c>
      <c r="C4" s="31" t="s">
        <v>330</v>
      </c>
      <c r="D4" s="31" t="s">
        <v>331</v>
      </c>
      <c r="E4" s="31" t="s">
        <v>332</v>
      </c>
      <c r="F4" s="63" t="s">
        <v>284</v>
      </c>
      <c r="G4" s="24" t="s">
        <v>321</v>
      </c>
      <c r="H4" s="39" t="s">
        <v>322</v>
      </c>
      <c r="I4" s="31" t="s">
        <v>333</v>
      </c>
    </row>
    <row r="5" spans="1:9" x14ac:dyDescent="0.25">
      <c r="A5" s="27" t="s">
        <v>334</v>
      </c>
      <c r="B5" s="28" t="s">
        <v>36</v>
      </c>
      <c r="C5" s="40" t="s">
        <v>335</v>
      </c>
      <c r="D5" s="40" t="s">
        <v>336</v>
      </c>
      <c r="E5" s="40" t="s">
        <v>337</v>
      </c>
      <c r="F5" s="63" t="s">
        <v>284</v>
      </c>
      <c r="G5" s="29" t="s">
        <v>321</v>
      </c>
      <c r="H5" s="46" t="s">
        <v>322</v>
      </c>
      <c r="I5" s="40" t="s">
        <v>338</v>
      </c>
    </row>
    <row r="6" spans="1:9" x14ac:dyDescent="0.25">
      <c r="A6" s="21" t="s">
        <v>339</v>
      </c>
      <c r="B6" s="22" t="s">
        <v>36</v>
      </c>
      <c r="C6" s="31" t="s">
        <v>340</v>
      </c>
      <c r="D6" s="31" t="s">
        <v>341</v>
      </c>
      <c r="E6" s="31" t="s">
        <v>342</v>
      </c>
      <c r="F6" s="63" t="s">
        <v>284</v>
      </c>
      <c r="G6" s="24" t="s">
        <v>321</v>
      </c>
      <c r="H6" s="39" t="s">
        <v>322</v>
      </c>
      <c r="I6" s="31" t="s">
        <v>343</v>
      </c>
    </row>
    <row r="7" spans="1:9" x14ac:dyDescent="0.25">
      <c r="A7" s="27" t="s">
        <v>344</v>
      </c>
      <c r="B7" s="28" t="s">
        <v>36</v>
      </c>
      <c r="C7" s="40" t="s">
        <v>345</v>
      </c>
      <c r="D7" s="40" t="s">
        <v>346</v>
      </c>
      <c r="E7" s="40" t="s">
        <v>347</v>
      </c>
      <c r="F7" s="63" t="s">
        <v>284</v>
      </c>
      <c r="G7" s="29" t="s">
        <v>321</v>
      </c>
      <c r="H7" s="46" t="s">
        <v>322</v>
      </c>
      <c r="I7" s="40" t="s">
        <v>348</v>
      </c>
    </row>
    <row r="8" spans="1:9" x14ac:dyDescent="0.25">
      <c r="A8" s="21" t="s">
        <v>349</v>
      </c>
      <c r="B8" s="22" t="s">
        <v>36</v>
      </c>
      <c r="C8" s="31" t="s">
        <v>350</v>
      </c>
      <c r="D8" s="31" t="s">
        <v>351</v>
      </c>
      <c r="E8" s="31" t="s">
        <v>352</v>
      </c>
      <c r="F8" s="63" t="s">
        <v>284</v>
      </c>
      <c r="G8" s="24" t="s">
        <v>321</v>
      </c>
      <c r="H8" s="39" t="s">
        <v>322</v>
      </c>
      <c r="I8" s="31" t="s">
        <v>353</v>
      </c>
    </row>
    <row r="9" spans="1:9" x14ac:dyDescent="0.25">
      <c r="A9" s="27" t="s">
        <v>354</v>
      </c>
      <c r="B9" s="28" t="s">
        <v>36</v>
      </c>
      <c r="C9" s="40" t="s">
        <v>355</v>
      </c>
      <c r="D9" s="40" t="s">
        <v>356</v>
      </c>
      <c r="E9" s="40" t="s">
        <v>357</v>
      </c>
      <c r="F9" s="63" t="s">
        <v>284</v>
      </c>
      <c r="G9" s="29" t="s">
        <v>321</v>
      </c>
      <c r="H9" s="46" t="s">
        <v>322</v>
      </c>
      <c r="I9" s="40" t="s">
        <v>358</v>
      </c>
    </row>
    <row r="10" spans="1:9" x14ac:dyDescent="0.25">
      <c r="A10" s="21" t="s">
        <v>359</v>
      </c>
      <c r="B10" s="22" t="s">
        <v>360</v>
      </c>
      <c r="C10" s="31" t="s">
        <v>361</v>
      </c>
      <c r="D10" s="31" t="s">
        <v>362</v>
      </c>
      <c r="E10" s="31" t="s">
        <v>363</v>
      </c>
      <c r="F10" s="63" t="s">
        <v>284</v>
      </c>
      <c r="G10" s="24" t="s">
        <v>321</v>
      </c>
      <c r="H10" s="39" t="s">
        <v>322</v>
      </c>
      <c r="I10" s="31" t="s">
        <v>364</v>
      </c>
    </row>
    <row r="11" spans="1:9" x14ac:dyDescent="0.25">
      <c r="A11" s="27" t="s">
        <v>365</v>
      </c>
      <c r="B11" s="28" t="s">
        <v>360</v>
      </c>
      <c r="C11" s="40" t="s">
        <v>366</v>
      </c>
      <c r="D11" s="40" t="s">
        <v>367</v>
      </c>
      <c r="E11" s="40" t="s">
        <v>368</v>
      </c>
      <c r="F11" s="63" t="s">
        <v>284</v>
      </c>
      <c r="G11" s="29" t="s">
        <v>321</v>
      </c>
      <c r="H11" s="46" t="s">
        <v>322</v>
      </c>
      <c r="I11" s="40" t="s">
        <v>369</v>
      </c>
    </row>
    <row r="12" spans="1:9" x14ac:dyDescent="0.25">
      <c r="A12" s="21" t="s">
        <v>370</v>
      </c>
      <c r="B12" s="22" t="s">
        <v>360</v>
      </c>
      <c r="C12" s="31" t="s">
        <v>371</v>
      </c>
      <c r="D12" s="31" t="s">
        <v>372</v>
      </c>
      <c r="E12" s="31" t="s">
        <v>373</v>
      </c>
      <c r="F12" s="63" t="s">
        <v>284</v>
      </c>
      <c r="G12" s="24" t="s">
        <v>321</v>
      </c>
      <c r="H12" s="39" t="s">
        <v>322</v>
      </c>
      <c r="I12" s="31" t="s">
        <v>374</v>
      </c>
    </row>
    <row r="13" spans="1:9" x14ac:dyDescent="0.25">
      <c r="A13" s="27" t="s">
        <v>375</v>
      </c>
      <c r="B13" s="28" t="s">
        <v>360</v>
      </c>
      <c r="C13" s="40" t="s">
        <v>376</v>
      </c>
      <c r="D13" s="40" t="s">
        <v>377</v>
      </c>
      <c r="E13" s="40" t="s">
        <v>378</v>
      </c>
      <c r="F13" s="63" t="s">
        <v>284</v>
      </c>
      <c r="G13" s="29" t="s">
        <v>321</v>
      </c>
      <c r="H13" s="46" t="s">
        <v>322</v>
      </c>
      <c r="I13" s="40" t="s">
        <v>379</v>
      </c>
    </row>
    <row r="14" spans="1:9" x14ac:dyDescent="0.25">
      <c r="A14" s="21" t="s">
        <v>380</v>
      </c>
      <c r="B14" s="22" t="s">
        <v>46</v>
      </c>
      <c r="C14" s="31" t="s">
        <v>381</v>
      </c>
      <c r="D14" s="31" t="s">
        <v>382</v>
      </c>
      <c r="E14" s="31" t="s">
        <v>383</v>
      </c>
      <c r="F14" s="63" t="s">
        <v>284</v>
      </c>
      <c r="G14" s="24" t="s">
        <v>321</v>
      </c>
      <c r="H14" s="39" t="s">
        <v>322</v>
      </c>
      <c r="I14" s="31" t="s">
        <v>384</v>
      </c>
    </row>
    <row r="15" spans="1:9" x14ac:dyDescent="0.25">
      <c r="A15" s="27" t="s">
        <v>385</v>
      </c>
      <c r="B15" s="28" t="s">
        <v>46</v>
      </c>
      <c r="C15" s="40" t="s">
        <v>386</v>
      </c>
      <c r="D15" s="40" t="s">
        <v>387</v>
      </c>
      <c r="E15" s="40" t="s">
        <v>388</v>
      </c>
      <c r="F15" s="63" t="s">
        <v>284</v>
      </c>
      <c r="G15" s="29" t="s">
        <v>321</v>
      </c>
      <c r="H15" s="46" t="s">
        <v>322</v>
      </c>
      <c r="I15" s="40" t="s">
        <v>389</v>
      </c>
    </row>
    <row r="16" spans="1:9" x14ac:dyDescent="0.25">
      <c r="A16" s="21" t="s">
        <v>390</v>
      </c>
      <c r="B16" s="22" t="s">
        <v>46</v>
      </c>
      <c r="C16" s="31" t="s">
        <v>391</v>
      </c>
      <c r="D16" s="31" t="s">
        <v>392</v>
      </c>
      <c r="E16" s="31" t="s">
        <v>393</v>
      </c>
      <c r="F16" s="63" t="s">
        <v>284</v>
      </c>
      <c r="G16" s="24" t="s">
        <v>321</v>
      </c>
      <c r="H16" s="39" t="s">
        <v>322</v>
      </c>
      <c r="I16" s="31" t="s">
        <v>394</v>
      </c>
    </row>
    <row r="17" spans="1:9" x14ac:dyDescent="0.25">
      <c r="A17" s="27" t="s">
        <v>395</v>
      </c>
      <c r="B17" s="28" t="s">
        <v>46</v>
      </c>
      <c r="C17" s="40" t="s">
        <v>396</v>
      </c>
      <c r="D17" s="40" t="s">
        <v>397</v>
      </c>
      <c r="E17" s="40" t="s">
        <v>398</v>
      </c>
      <c r="F17" s="63" t="s">
        <v>284</v>
      </c>
      <c r="G17" s="29" t="s">
        <v>321</v>
      </c>
      <c r="H17" s="46" t="s">
        <v>322</v>
      </c>
      <c r="I17" s="40" t="s">
        <v>399</v>
      </c>
    </row>
    <row r="18" spans="1:9" x14ac:dyDescent="0.25">
      <c r="A18" s="21" t="s">
        <v>400</v>
      </c>
      <c r="B18" s="22" t="s">
        <v>46</v>
      </c>
      <c r="C18" s="31" t="s">
        <v>401</v>
      </c>
      <c r="D18" s="31" t="s">
        <v>402</v>
      </c>
      <c r="E18" s="31" t="s">
        <v>403</v>
      </c>
      <c r="F18" s="63" t="s">
        <v>284</v>
      </c>
      <c r="G18" s="24" t="s">
        <v>321</v>
      </c>
      <c r="H18" s="39" t="s">
        <v>322</v>
      </c>
      <c r="I18" s="31" t="s">
        <v>404</v>
      </c>
    </row>
    <row r="19" spans="1:9" x14ac:dyDescent="0.25">
      <c r="A19" s="27" t="s">
        <v>405</v>
      </c>
      <c r="B19" s="28" t="s">
        <v>46</v>
      </c>
      <c r="C19" s="40" t="s">
        <v>406</v>
      </c>
      <c r="D19" s="40" t="s">
        <v>407</v>
      </c>
      <c r="E19" s="40" t="s">
        <v>408</v>
      </c>
      <c r="F19" s="63" t="s">
        <v>284</v>
      </c>
      <c r="G19" s="29" t="s">
        <v>321</v>
      </c>
      <c r="H19" s="46" t="s">
        <v>322</v>
      </c>
      <c r="I19" s="40" t="s">
        <v>409</v>
      </c>
    </row>
    <row r="20" spans="1:9" x14ac:dyDescent="0.25">
      <c r="A20" s="21" t="s">
        <v>410</v>
      </c>
      <c r="B20" s="22" t="s">
        <v>46</v>
      </c>
      <c r="C20" s="31" t="s">
        <v>411</v>
      </c>
      <c r="D20" s="31" t="s">
        <v>412</v>
      </c>
      <c r="E20" s="31" t="s">
        <v>413</v>
      </c>
      <c r="F20" s="63" t="s">
        <v>284</v>
      </c>
      <c r="G20" s="24" t="s">
        <v>321</v>
      </c>
      <c r="H20" s="39" t="s">
        <v>322</v>
      </c>
      <c r="I20" s="31" t="s">
        <v>414</v>
      </c>
    </row>
    <row r="21" spans="1:9" x14ac:dyDescent="0.25">
      <c r="A21" s="27" t="s">
        <v>415</v>
      </c>
      <c r="B21" s="28" t="s">
        <v>46</v>
      </c>
      <c r="C21" s="40" t="s">
        <v>416</v>
      </c>
      <c r="D21" s="40" t="s">
        <v>417</v>
      </c>
      <c r="E21" s="40" t="s">
        <v>418</v>
      </c>
      <c r="F21" s="63" t="s">
        <v>284</v>
      </c>
      <c r="G21" s="29" t="s">
        <v>321</v>
      </c>
      <c r="H21" s="46" t="s">
        <v>322</v>
      </c>
      <c r="I21" s="40" t="s">
        <v>419</v>
      </c>
    </row>
    <row r="22" spans="1:9" x14ac:dyDescent="0.25">
      <c r="A22" s="21" t="s">
        <v>420</v>
      </c>
      <c r="B22" s="22" t="s">
        <v>46</v>
      </c>
      <c r="C22" s="31" t="s">
        <v>421</v>
      </c>
      <c r="D22" s="31" t="s">
        <v>422</v>
      </c>
      <c r="E22" s="31" t="s">
        <v>423</v>
      </c>
      <c r="F22" s="63" t="s">
        <v>284</v>
      </c>
      <c r="G22" s="24" t="s">
        <v>321</v>
      </c>
      <c r="H22" s="39" t="s">
        <v>322</v>
      </c>
      <c r="I22" s="31" t="s">
        <v>424</v>
      </c>
    </row>
    <row r="23" spans="1:9" x14ac:dyDescent="0.25">
      <c r="A23" s="27" t="s">
        <v>425</v>
      </c>
      <c r="B23" s="28" t="s">
        <v>46</v>
      </c>
      <c r="C23" s="40" t="s">
        <v>426</v>
      </c>
      <c r="D23" s="40" t="s">
        <v>427</v>
      </c>
      <c r="E23" s="40" t="s">
        <v>428</v>
      </c>
      <c r="F23" s="63" t="s">
        <v>284</v>
      </c>
      <c r="G23" s="29" t="s">
        <v>321</v>
      </c>
      <c r="H23" s="46" t="s">
        <v>322</v>
      </c>
      <c r="I23" s="40" t="s">
        <v>429</v>
      </c>
    </row>
    <row r="24" spans="1:9" x14ac:dyDescent="0.25">
      <c r="A24" s="21" t="s">
        <v>430</v>
      </c>
      <c r="B24" s="22" t="s">
        <v>46</v>
      </c>
      <c r="C24" s="31" t="s">
        <v>431</v>
      </c>
      <c r="D24" s="31" t="s">
        <v>432</v>
      </c>
      <c r="E24" s="31" t="s">
        <v>433</v>
      </c>
      <c r="F24" s="63" t="s">
        <v>284</v>
      </c>
      <c r="G24" s="24" t="s">
        <v>321</v>
      </c>
      <c r="H24" s="39" t="s">
        <v>322</v>
      </c>
      <c r="I24" s="31" t="s">
        <v>434</v>
      </c>
    </row>
    <row r="25" spans="1:9" x14ac:dyDescent="0.25">
      <c r="A25" s="27" t="s">
        <v>435</v>
      </c>
      <c r="B25" s="28" t="s">
        <v>46</v>
      </c>
      <c r="C25" s="40" t="s">
        <v>436</v>
      </c>
      <c r="D25" s="40" t="s">
        <v>437</v>
      </c>
      <c r="E25" s="40" t="s">
        <v>438</v>
      </c>
      <c r="F25" s="63" t="s">
        <v>284</v>
      </c>
      <c r="G25" s="29" t="s">
        <v>321</v>
      </c>
      <c r="H25" s="46" t="s">
        <v>322</v>
      </c>
      <c r="I25" s="40" t="s">
        <v>439</v>
      </c>
    </row>
    <row r="26" spans="1:9" x14ac:dyDescent="0.25">
      <c r="A26" s="21" t="s">
        <v>440</v>
      </c>
      <c r="B26" s="22" t="s">
        <v>46</v>
      </c>
      <c r="C26" s="31" t="s">
        <v>441</v>
      </c>
      <c r="D26" s="31" t="s">
        <v>442</v>
      </c>
      <c r="E26" s="31" t="s">
        <v>443</v>
      </c>
      <c r="F26" s="63" t="s">
        <v>284</v>
      </c>
      <c r="G26" s="24" t="s">
        <v>321</v>
      </c>
      <c r="H26" s="39" t="s">
        <v>322</v>
      </c>
      <c r="I26" s="31" t="s">
        <v>444</v>
      </c>
    </row>
    <row r="27" spans="1:9" x14ac:dyDescent="0.25">
      <c r="A27" s="27" t="s">
        <v>445</v>
      </c>
      <c r="B27" s="28" t="s">
        <v>46</v>
      </c>
      <c r="C27" s="40" t="s">
        <v>446</v>
      </c>
      <c r="D27" s="40" t="s">
        <v>447</v>
      </c>
      <c r="E27" s="40" t="s">
        <v>448</v>
      </c>
      <c r="F27" s="63" t="s">
        <v>284</v>
      </c>
      <c r="G27" s="29" t="s">
        <v>321</v>
      </c>
      <c r="H27" s="46" t="s">
        <v>322</v>
      </c>
      <c r="I27" s="40" t="s">
        <v>449</v>
      </c>
    </row>
    <row r="28" spans="1:9" x14ac:dyDescent="0.25">
      <c r="A28" s="21" t="s">
        <v>450</v>
      </c>
      <c r="B28" s="22" t="s">
        <v>46</v>
      </c>
      <c r="C28" s="31" t="s">
        <v>451</v>
      </c>
      <c r="D28" s="31" t="s">
        <v>452</v>
      </c>
      <c r="E28" s="31" t="s">
        <v>453</v>
      </c>
      <c r="F28" s="63" t="s">
        <v>284</v>
      </c>
      <c r="G28" s="24" t="s">
        <v>321</v>
      </c>
      <c r="H28" s="39" t="s">
        <v>322</v>
      </c>
      <c r="I28" s="31" t="s">
        <v>454</v>
      </c>
    </row>
    <row r="29" spans="1:9" x14ac:dyDescent="0.25">
      <c r="A29" s="27" t="s">
        <v>455</v>
      </c>
      <c r="B29" s="28" t="s">
        <v>46</v>
      </c>
      <c r="C29" s="40" t="s">
        <v>456</v>
      </c>
      <c r="D29" s="40" t="s">
        <v>457</v>
      </c>
      <c r="E29" s="40" t="s">
        <v>458</v>
      </c>
      <c r="F29" s="63" t="s">
        <v>284</v>
      </c>
      <c r="G29" s="29" t="s">
        <v>321</v>
      </c>
      <c r="H29" s="46" t="s">
        <v>322</v>
      </c>
      <c r="I29" s="40" t="s">
        <v>459</v>
      </c>
    </row>
    <row r="30" spans="1:9" x14ac:dyDescent="0.25">
      <c r="A30" s="21" t="s">
        <v>460</v>
      </c>
      <c r="B30" s="22" t="s">
        <v>46</v>
      </c>
      <c r="C30" s="31" t="s">
        <v>461</v>
      </c>
      <c r="D30" s="31" t="s">
        <v>462</v>
      </c>
      <c r="E30" s="31" t="s">
        <v>463</v>
      </c>
      <c r="F30" s="63" t="s">
        <v>284</v>
      </c>
      <c r="G30" s="24" t="s">
        <v>321</v>
      </c>
      <c r="H30" s="39" t="s">
        <v>322</v>
      </c>
      <c r="I30" s="31" t="s">
        <v>464</v>
      </c>
    </row>
    <row r="31" spans="1:9" x14ac:dyDescent="0.25">
      <c r="A31" s="27" t="s">
        <v>465</v>
      </c>
      <c r="B31" s="28" t="s">
        <v>46</v>
      </c>
      <c r="C31" s="40" t="s">
        <v>466</v>
      </c>
      <c r="D31" s="40" t="s">
        <v>467</v>
      </c>
      <c r="E31" s="40" t="s">
        <v>468</v>
      </c>
      <c r="F31" s="63" t="s">
        <v>284</v>
      </c>
      <c r="G31" s="29" t="s">
        <v>321</v>
      </c>
      <c r="H31" s="46" t="s">
        <v>322</v>
      </c>
      <c r="I31" s="40" t="s">
        <v>469</v>
      </c>
    </row>
    <row r="32" spans="1:9" x14ac:dyDescent="0.25">
      <c r="A32" s="21" t="s">
        <v>470</v>
      </c>
      <c r="B32" s="22" t="s">
        <v>46</v>
      </c>
      <c r="C32" s="31" t="s">
        <v>471</v>
      </c>
      <c r="D32" s="31" t="s">
        <v>472</v>
      </c>
      <c r="E32" s="31" t="s">
        <v>473</v>
      </c>
      <c r="F32" s="63" t="s">
        <v>284</v>
      </c>
      <c r="G32" s="24" t="s">
        <v>321</v>
      </c>
      <c r="H32" s="39" t="s">
        <v>322</v>
      </c>
      <c r="I32" s="31" t="s">
        <v>474</v>
      </c>
    </row>
    <row r="33" spans="1:9" x14ac:dyDescent="0.25">
      <c r="A33" s="27" t="s">
        <v>475</v>
      </c>
      <c r="B33" s="28" t="s">
        <v>46</v>
      </c>
      <c r="C33" s="40" t="s">
        <v>476</v>
      </c>
      <c r="D33" s="40" t="s">
        <v>477</v>
      </c>
      <c r="E33" s="40" t="s">
        <v>478</v>
      </c>
      <c r="F33" s="63" t="s">
        <v>284</v>
      </c>
      <c r="G33" s="29" t="s">
        <v>321</v>
      </c>
      <c r="H33" s="46" t="s">
        <v>322</v>
      </c>
      <c r="I33" s="40" t="s">
        <v>479</v>
      </c>
    </row>
    <row r="34" spans="1:9" x14ac:dyDescent="0.25">
      <c r="A34" s="21" t="s">
        <v>480</v>
      </c>
      <c r="B34" s="22" t="s">
        <v>46</v>
      </c>
      <c r="C34" s="31" t="s">
        <v>481</v>
      </c>
      <c r="D34" s="31" t="s">
        <v>482</v>
      </c>
      <c r="E34" s="31" t="s">
        <v>483</v>
      </c>
      <c r="F34" s="63" t="s">
        <v>284</v>
      </c>
      <c r="G34" s="24" t="s">
        <v>321</v>
      </c>
      <c r="H34" s="39" t="s">
        <v>322</v>
      </c>
      <c r="I34" s="31" t="s">
        <v>484</v>
      </c>
    </row>
    <row r="35" spans="1:9" x14ac:dyDescent="0.25">
      <c r="A35" s="27" t="s">
        <v>485</v>
      </c>
      <c r="B35" s="28" t="s">
        <v>46</v>
      </c>
      <c r="C35" s="40" t="s">
        <v>486</v>
      </c>
      <c r="D35" s="40" t="s">
        <v>487</v>
      </c>
      <c r="E35" s="40" t="s">
        <v>488</v>
      </c>
      <c r="F35" s="63" t="s">
        <v>284</v>
      </c>
      <c r="G35" s="29" t="s">
        <v>321</v>
      </c>
      <c r="H35" s="46" t="s">
        <v>322</v>
      </c>
      <c r="I35" s="40" t="s">
        <v>489</v>
      </c>
    </row>
    <row r="36" spans="1:9" x14ac:dyDescent="0.25">
      <c r="A36" s="21" t="s">
        <v>490</v>
      </c>
      <c r="B36" s="22" t="s">
        <v>41</v>
      </c>
      <c r="C36" s="31" t="s">
        <v>491</v>
      </c>
      <c r="D36" s="31" t="s">
        <v>492</v>
      </c>
      <c r="E36" s="31" t="s">
        <v>493</v>
      </c>
      <c r="F36" s="63" t="s">
        <v>284</v>
      </c>
      <c r="G36" s="24" t="s">
        <v>321</v>
      </c>
      <c r="H36" s="39" t="s">
        <v>322</v>
      </c>
      <c r="I36" s="31" t="s">
        <v>494</v>
      </c>
    </row>
    <row r="37" spans="1:9" x14ac:dyDescent="0.25">
      <c r="A37" s="27" t="s">
        <v>495</v>
      </c>
      <c r="B37" s="28" t="s">
        <v>41</v>
      </c>
      <c r="C37" s="40" t="s">
        <v>173</v>
      </c>
      <c r="D37" s="40" t="s">
        <v>496</v>
      </c>
      <c r="E37" s="40" t="s">
        <v>497</v>
      </c>
      <c r="F37" s="63" t="s">
        <v>284</v>
      </c>
      <c r="G37" s="29" t="s">
        <v>321</v>
      </c>
      <c r="H37" s="46" t="s">
        <v>322</v>
      </c>
      <c r="I37" s="40" t="s">
        <v>498</v>
      </c>
    </row>
    <row r="38" spans="1:9" x14ac:dyDescent="0.25">
      <c r="A38" s="21" t="s">
        <v>499</v>
      </c>
      <c r="B38" s="22" t="s">
        <v>41</v>
      </c>
      <c r="C38" s="31" t="s">
        <v>500</v>
      </c>
      <c r="D38" s="31" t="s">
        <v>501</v>
      </c>
      <c r="E38" s="31" t="s">
        <v>502</v>
      </c>
      <c r="F38" s="63" t="s">
        <v>284</v>
      </c>
      <c r="G38" s="24" t="s">
        <v>321</v>
      </c>
      <c r="H38" s="39" t="s">
        <v>322</v>
      </c>
      <c r="I38" s="31" t="s">
        <v>503</v>
      </c>
    </row>
    <row r="39" spans="1:9" x14ac:dyDescent="0.25">
      <c r="A39" s="27" t="s">
        <v>504</v>
      </c>
      <c r="B39" s="28" t="s">
        <v>41</v>
      </c>
      <c r="C39" s="40" t="s">
        <v>505</v>
      </c>
      <c r="D39" s="40" t="s">
        <v>506</v>
      </c>
      <c r="E39" s="40" t="s">
        <v>507</v>
      </c>
      <c r="F39" s="63" t="s">
        <v>284</v>
      </c>
      <c r="G39" s="29" t="s">
        <v>321</v>
      </c>
      <c r="H39" s="46" t="s">
        <v>322</v>
      </c>
      <c r="I39" s="40" t="s">
        <v>508</v>
      </c>
    </row>
    <row r="40" spans="1:9" x14ac:dyDescent="0.25">
      <c r="A40" s="21" t="s">
        <v>509</v>
      </c>
      <c r="B40" s="22" t="s">
        <v>41</v>
      </c>
      <c r="C40" s="31" t="s">
        <v>510</v>
      </c>
      <c r="D40" s="31" t="s">
        <v>511</v>
      </c>
      <c r="E40" s="31" t="s">
        <v>512</v>
      </c>
      <c r="F40" s="63" t="s">
        <v>284</v>
      </c>
      <c r="G40" s="24" t="s">
        <v>321</v>
      </c>
      <c r="H40" s="39" t="s">
        <v>322</v>
      </c>
      <c r="I40" s="31" t="s">
        <v>513</v>
      </c>
    </row>
    <row r="41" spans="1:9" x14ac:dyDescent="0.25">
      <c r="A41" s="27" t="s">
        <v>514</v>
      </c>
      <c r="B41" s="28" t="s">
        <v>41</v>
      </c>
      <c r="C41" s="40" t="s">
        <v>515</v>
      </c>
      <c r="D41" s="40" t="s">
        <v>516</v>
      </c>
      <c r="E41" s="40" t="s">
        <v>517</v>
      </c>
      <c r="F41" s="63" t="s">
        <v>284</v>
      </c>
      <c r="G41" s="29" t="s">
        <v>321</v>
      </c>
      <c r="H41" s="46" t="s">
        <v>322</v>
      </c>
      <c r="I41" s="40" t="s">
        <v>518</v>
      </c>
    </row>
    <row r="42" spans="1:9" x14ac:dyDescent="0.25">
      <c r="A42" s="21" t="s">
        <v>519</v>
      </c>
      <c r="B42" s="22" t="s">
        <v>41</v>
      </c>
      <c r="C42" s="31" t="s">
        <v>520</v>
      </c>
      <c r="D42" s="31" t="s">
        <v>521</v>
      </c>
      <c r="E42" s="31" t="s">
        <v>522</v>
      </c>
      <c r="F42" s="63" t="s">
        <v>284</v>
      </c>
      <c r="G42" s="24" t="s">
        <v>321</v>
      </c>
      <c r="H42" s="39" t="s">
        <v>322</v>
      </c>
      <c r="I42" s="31" t="s">
        <v>523</v>
      </c>
    </row>
    <row r="43" spans="1:9" x14ac:dyDescent="0.25">
      <c r="A43" s="27" t="s">
        <v>524</v>
      </c>
      <c r="B43" s="28" t="s">
        <v>41</v>
      </c>
      <c r="C43" s="40" t="s">
        <v>525</v>
      </c>
      <c r="D43" s="40" t="s">
        <v>526</v>
      </c>
      <c r="E43" s="40" t="s">
        <v>527</v>
      </c>
      <c r="F43" s="63" t="s">
        <v>284</v>
      </c>
      <c r="G43" s="29" t="s">
        <v>321</v>
      </c>
      <c r="H43" s="46" t="s">
        <v>322</v>
      </c>
      <c r="I43" s="40" t="s">
        <v>528</v>
      </c>
    </row>
    <row r="44" spans="1:9" x14ac:dyDescent="0.25">
      <c r="A44" s="21" t="s">
        <v>529</v>
      </c>
      <c r="B44" s="22" t="s">
        <v>41</v>
      </c>
      <c r="C44" s="31" t="s">
        <v>530</v>
      </c>
      <c r="D44" s="31" t="s">
        <v>531</v>
      </c>
      <c r="E44" s="31" t="s">
        <v>532</v>
      </c>
      <c r="F44" s="63" t="s">
        <v>284</v>
      </c>
      <c r="G44" s="24" t="s">
        <v>321</v>
      </c>
      <c r="H44" s="39" t="s">
        <v>322</v>
      </c>
      <c r="I44" s="31" t="s">
        <v>533</v>
      </c>
    </row>
    <row r="45" spans="1:9" x14ac:dyDescent="0.25">
      <c r="A45" s="27" t="s">
        <v>534</v>
      </c>
      <c r="B45" s="28" t="s">
        <v>41</v>
      </c>
      <c r="C45" s="40" t="s">
        <v>535</v>
      </c>
      <c r="D45" s="40" t="s">
        <v>536</v>
      </c>
      <c r="E45" s="40" t="s">
        <v>537</v>
      </c>
      <c r="F45" s="63" t="s">
        <v>284</v>
      </c>
      <c r="G45" s="29" t="s">
        <v>321</v>
      </c>
      <c r="H45" s="46" t="s">
        <v>322</v>
      </c>
      <c r="I45" s="40" t="s">
        <v>538</v>
      </c>
    </row>
    <row r="46" spans="1:9" x14ac:dyDescent="0.25">
      <c r="A46" s="21" t="s">
        <v>539</v>
      </c>
      <c r="B46" s="22" t="s">
        <v>41</v>
      </c>
      <c r="C46" s="31" t="s">
        <v>540</v>
      </c>
      <c r="D46" s="31" t="s">
        <v>541</v>
      </c>
      <c r="E46" s="31" t="s">
        <v>542</v>
      </c>
      <c r="F46" s="63" t="s">
        <v>284</v>
      </c>
      <c r="G46" s="24" t="s">
        <v>321</v>
      </c>
      <c r="H46" s="39" t="s">
        <v>322</v>
      </c>
      <c r="I46" s="31" t="s">
        <v>543</v>
      </c>
    </row>
    <row r="47" spans="1:9" x14ac:dyDescent="0.25">
      <c r="A47" s="27" t="s">
        <v>544</v>
      </c>
      <c r="B47" s="28" t="s">
        <v>41</v>
      </c>
      <c r="C47" s="40" t="s">
        <v>545</v>
      </c>
      <c r="D47" s="40" t="s">
        <v>546</v>
      </c>
      <c r="E47" s="40" t="s">
        <v>547</v>
      </c>
      <c r="F47" s="63" t="s">
        <v>284</v>
      </c>
      <c r="G47" s="29" t="s">
        <v>321</v>
      </c>
      <c r="H47" s="46" t="s">
        <v>322</v>
      </c>
      <c r="I47" s="40" t="s">
        <v>548</v>
      </c>
    </row>
    <row r="48" spans="1:9" x14ac:dyDescent="0.25">
      <c r="A48" s="21" t="s">
        <v>549</v>
      </c>
      <c r="B48" s="22" t="s">
        <v>41</v>
      </c>
      <c r="C48" s="31" t="s">
        <v>550</v>
      </c>
      <c r="D48" s="31" t="s">
        <v>551</v>
      </c>
      <c r="E48" s="31" t="s">
        <v>552</v>
      </c>
      <c r="F48" s="63" t="s">
        <v>284</v>
      </c>
      <c r="G48" s="24" t="s">
        <v>321</v>
      </c>
      <c r="H48" s="39" t="s">
        <v>322</v>
      </c>
      <c r="I48" s="31" t="s">
        <v>553</v>
      </c>
    </row>
    <row r="49" spans="1:9" x14ac:dyDescent="0.25">
      <c r="A49" s="27" t="s">
        <v>554</v>
      </c>
      <c r="B49" s="28" t="s">
        <v>41</v>
      </c>
      <c r="C49" s="40" t="s">
        <v>555</v>
      </c>
      <c r="D49" s="40" t="s">
        <v>556</v>
      </c>
      <c r="E49" s="40" t="s">
        <v>557</v>
      </c>
      <c r="F49" s="63" t="s">
        <v>284</v>
      </c>
      <c r="G49" s="29" t="s">
        <v>321</v>
      </c>
      <c r="H49" s="46" t="s">
        <v>322</v>
      </c>
      <c r="I49" s="40" t="s">
        <v>558</v>
      </c>
    </row>
    <row r="50" spans="1:9" x14ac:dyDescent="0.25">
      <c r="A50" s="21" t="s">
        <v>559</v>
      </c>
      <c r="B50" s="22" t="s">
        <v>41</v>
      </c>
      <c r="C50" s="31" t="s">
        <v>560</v>
      </c>
      <c r="D50" s="31" t="s">
        <v>561</v>
      </c>
      <c r="E50" s="31" t="s">
        <v>562</v>
      </c>
      <c r="F50" s="63" t="s">
        <v>284</v>
      </c>
      <c r="G50" s="24" t="s">
        <v>321</v>
      </c>
      <c r="H50" s="39" t="s">
        <v>322</v>
      </c>
      <c r="I50" s="31" t="s">
        <v>563</v>
      </c>
    </row>
    <row r="51" spans="1:9" x14ac:dyDescent="0.25">
      <c r="A51" s="27" t="s">
        <v>564</v>
      </c>
      <c r="B51" s="28" t="s">
        <v>41</v>
      </c>
      <c r="C51" s="40" t="s">
        <v>565</v>
      </c>
      <c r="D51" s="40" t="s">
        <v>566</v>
      </c>
      <c r="E51" s="40" t="s">
        <v>567</v>
      </c>
      <c r="F51" s="63" t="s">
        <v>284</v>
      </c>
      <c r="G51" s="29" t="s">
        <v>321</v>
      </c>
      <c r="H51" s="46" t="s">
        <v>322</v>
      </c>
      <c r="I51" s="40" t="s">
        <v>568</v>
      </c>
    </row>
    <row r="52" spans="1:9" x14ac:dyDescent="0.25">
      <c r="A52" s="21" t="s">
        <v>569</v>
      </c>
      <c r="B52" s="22" t="s">
        <v>41</v>
      </c>
      <c r="C52" s="31" t="s">
        <v>570</v>
      </c>
      <c r="D52" s="31" t="s">
        <v>571</v>
      </c>
      <c r="E52" s="31" t="s">
        <v>572</v>
      </c>
      <c r="F52" s="63" t="s">
        <v>284</v>
      </c>
      <c r="G52" s="24" t="s">
        <v>321</v>
      </c>
      <c r="H52" s="39" t="s">
        <v>322</v>
      </c>
      <c r="I52" s="31" t="s">
        <v>573</v>
      </c>
    </row>
    <row r="53" spans="1:9" x14ac:dyDescent="0.25">
      <c r="A53" s="27" t="s">
        <v>574</v>
      </c>
      <c r="B53" s="28" t="s">
        <v>41</v>
      </c>
      <c r="C53" s="40" t="s">
        <v>575</v>
      </c>
      <c r="D53" s="40" t="s">
        <v>576</v>
      </c>
      <c r="E53" s="40" t="s">
        <v>577</v>
      </c>
      <c r="F53" s="63" t="s">
        <v>284</v>
      </c>
      <c r="G53" s="29" t="s">
        <v>321</v>
      </c>
      <c r="H53" s="46" t="s">
        <v>322</v>
      </c>
      <c r="I53" s="40" t="s">
        <v>578</v>
      </c>
    </row>
    <row r="54" spans="1:9" x14ac:dyDescent="0.25">
      <c r="A54" s="21" t="s">
        <v>579</v>
      </c>
      <c r="B54" s="22" t="s">
        <v>41</v>
      </c>
      <c r="C54" s="31" t="s">
        <v>580</v>
      </c>
      <c r="D54" s="31" t="s">
        <v>576</v>
      </c>
      <c r="E54" s="31" t="s">
        <v>581</v>
      </c>
      <c r="F54" s="63" t="s">
        <v>284</v>
      </c>
      <c r="G54" s="24" t="s">
        <v>321</v>
      </c>
      <c r="H54" s="39" t="s">
        <v>322</v>
      </c>
      <c r="I54" s="31" t="s">
        <v>582</v>
      </c>
    </row>
  </sheetData>
  <autoFilter ref="A1:I54"/>
  <dataValidations count="2">
    <dataValidation type="list" sqref="H10:H54">
      <formula1>"Pending Review,Approved,Changes Requested"</formula1>
    </dataValidation>
    <dataValidation type="list" sqref="H2:H54">
      <formula1>"Pending Review,Approved,Changes Requested"</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L1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4" width="24" customWidth="1"/>
    <col min="5" max="5" width="46" customWidth="1"/>
    <col min="6" max="6" width="14" customWidth="1"/>
    <col min="7" max="9" width="16" customWidth="1"/>
    <col min="10" max="10" width="20" customWidth="1"/>
    <col min="11" max="11" width="40" customWidth="1"/>
    <col min="12" max="12" width="16" customWidth="1"/>
  </cols>
  <sheetData>
    <row r="1" spans="1:12" x14ac:dyDescent="0.25">
      <c r="A1" s="30" t="s">
        <v>583</v>
      </c>
      <c r="B1" s="30" t="s">
        <v>584</v>
      </c>
      <c r="C1" s="30" t="s">
        <v>75</v>
      </c>
      <c r="D1" s="30" t="s">
        <v>585</v>
      </c>
      <c r="E1" s="30" t="s">
        <v>586</v>
      </c>
      <c r="F1" s="30" t="s">
        <v>587</v>
      </c>
      <c r="G1" s="30" t="s">
        <v>80</v>
      </c>
      <c r="H1" s="30" t="s">
        <v>588</v>
      </c>
      <c r="I1" s="30" t="s">
        <v>589</v>
      </c>
      <c r="J1" s="30" t="s">
        <v>81</v>
      </c>
      <c r="K1" s="30" t="s">
        <v>590</v>
      </c>
      <c r="L1" s="30" t="s">
        <v>591</v>
      </c>
    </row>
    <row r="2" spans="1:12" x14ac:dyDescent="0.25">
      <c r="A2" s="68" t="s">
        <v>275</v>
      </c>
      <c r="B2" s="68" t="s">
        <v>275</v>
      </c>
      <c r="C2" s="31" t="s">
        <v>275</v>
      </c>
      <c r="D2" s="31" t="s">
        <v>275</v>
      </c>
      <c r="E2" s="31" t="s">
        <v>275</v>
      </c>
      <c r="F2" s="68" t="s">
        <v>275</v>
      </c>
      <c r="G2" s="68" t="s">
        <v>275</v>
      </c>
      <c r="H2" s="31" t="s">
        <v>275</v>
      </c>
      <c r="I2" s="31" t="s">
        <v>275</v>
      </c>
      <c r="J2" s="68" t="s">
        <v>275</v>
      </c>
      <c r="K2" s="31" t="s">
        <v>275</v>
      </c>
      <c r="L2" s="31" t="s">
        <v>275</v>
      </c>
    </row>
    <row r="3" spans="1:12" x14ac:dyDescent="0.25">
      <c r="A3" s="69" t="s">
        <v>275</v>
      </c>
      <c r="B3" s="69" t="s">
        <v>275</v>
      </c>
      <c r="C3" s="40" t="s">
        <v>275</v>
      </c>
      <c r="D3" s="40" t="s">
        <v>275</v>
      </c>
      <c r="E3" s="40" t="s">
        <v>275</v>
      </c>
      <c r="F3" s="69" t="s">
        <v>275</v>
      </c>
      <c r="G3" s="69" t="s">
        <v>275</v>
      </c>
      <c r="H3" s="40" t="s">
        <v>275</v>
      </c>
      <c r="I3" s="40" t="s">
        <v>275</v>
      </c>
      <c r="J3" s="69" t="s">
        <v>275</v>
      </c>
      <c r="K3" s="40" t="s">
        <v>275</v>
      </c>
      <c r="L3" s="40" t="s">
        <v>275</v>
      </c>
    </row>
    <row r="4" spans="1:12" x14ac:dyDescent="0.25">
      <c r="A4" s="68" t="s">
        <v>275</v>
      </c>
      <c r="B4" s="68" t="s">
        <v>275</v>
      </c>
      <c r="C4" s="31" t="s">
        <v>275</v>
      </c>
      <c r="D4" s="31" t="s">
        <v>275</v>
      </c>
      <c r="E4" s="31" t="s">
        <v>275</v>
      </c>
      <c r="F4" s="68" t="s">
        <v>275</v>
      </c>
      <c r="G4" s="68" t="s">
        <v>275</v>
      </c>
      <c r="H4" s="31" t="s">
        <v>275</v>
      </c>
      <c r="I4" s="31" t="s">
        <v>275</v>
      </c>
      <c r="J4" s="68" t="s">
        <v>275</v>
      </c>
      <c r="K4" s="31" t="s">
        <v>275</v>
      </c>
      <c r="L4" s="31" t="s">
        <v>275</v>
      </c>
    </row>
    <row r="5" spans="1:12" x14ac:dyDescent="0.25">
      <c r="A5" s="69" t="s">
        <v>275</v>
      </c>
      <c r="B5" s="69" t="s">
        <v>275</v>
      </c>
      <c r="C5" s="40" t="s">
        <v>275</v>
      </c>
      <c r="D5" s="40" t="s">
        <v>275</v>
      </c>
      <c r="E5" s="40" t="s">
        <v>275</v>
      </c>
      <c r="F5" s="69" t="s">
        <v>275</v>
      </c>
      <c r="G5" s="69" t="s">
        <v>275</v>
      </c>
      <c r="H5" s="40" t="s">
        <v>275</v>
      </c>
      <c r="I5" s="40" t="s">
        <v>275</v>
      </c>
      <c r="J5" s="69" t="s">
        <v>275</v>
      </c>
      <c r="K5" s="40" t="s">
        <v>275</v>
      </c>
      <c r="L5" s="40" t="s">
        <v>275</v>
      </c>
    </row>
    <row r="6" spans="1:12" x14ac:dyDescent="0.25">
      <c r="A6" s="68" t="s">
        <v>275</v>
      </c>
      <c r="B6" s="68" t="s">
        <v>275</v>
      </c>
      <c r="C6" s="31" t="s">
        <v>275</v>
      </c>
      <c r="D6" s="31" t="s">
        <v>275</v>
      </c>
      <c r="E6" s="31" t="s">
        <v>275</v>
      </c>
      <c r="F6" s="68" t="s">
        <v>275</v>
      </c>
      <c r="G6" s="68" t="s">
        <v>275</v>
      </c>
      <c r="H6" s="31" t="s">
        <v>275</v>
      </c>
      <c r="I6" s="31" t="s">
        <v>275</v>
      </c>
      <c r="J6" s="68" t="s">
        <v>275</v>
      </c>
      <c r="K6" s="31" t="s">
        <v>275</v>
      </c>
      <c r="L6" s="31" t="s">
        <v>275</v>
      </c>
    </row>
    <row r="7" spans="1:12" x14ac:dyDescent="0.25">
      <c r="A7" s="69" t="s">
        <v>275</v>
      </c>
      <c r="B7" s="69" t="s">
        <v>275</v>
      </c>
      <c r="C7" s="40" t="s">
        <v>275</v>
      </c>
      <c r="D7" s="40" t="s">
        <v>275</v>
      </c>
      <c r="E7" s="40" t="s">
        <v>275</v>
      </c>
      <c r="F7" s="69" t="s">
        <v>275</v>
      </c>
      <c r="G7" s="69" t="s">
        <v>275</v>
      </c>
      <c r="H7" s="40" t="s">
        <v>275</v>
      </c>
      <c r="I7" s="40" t="s">
        <v>275</v>
      </c>
      <c r="J7" s="69" t="s">
        <v>275</v>
      </c>
      <c r="K7" s="40" t="s">
        <v>275</v>
      </c>
      <c r="L7" s="40" t="s">
        <v>275</v>
      </c>
    </row>
    <row r="8" spans="1:12" x14ac:dyDescent="0.25">
      <c r="A8" s="68" t="s">
        <v>275</v>
      </c>
      <c r="B8" s="68" t="s">
        <v>275</v>
      </c>
      <c r="C8" s="31" t="s">
        <v>275</v>
      </c>
      <c r="D8" s="31" t="s">
        <v>275</v>
      </c>
      <c r="E8" s="31" t="s">
        <v>275</v>
      </c>
      <c r="F8" s="68" t="s">
        <v>275</v>
      </c>
      <c r="G8" s="68" t="s">
        <v>275</v>
      </c>
      <c r="H8" s="31" t="s">
        <v>275</v>
      </c>
      <c r="I8" s="31" t="s">
        <v>275</v>
      </c>
      <c r="J8" s="68" t="s">
        <v>275</v>
      </c>
      <c r="K8" s="31" t="s">
        <v>275</v>
      </c>
      <c r="L8" s="31" t="s">
        <v>275</v>
      </c>
    </row>
    <row r="9" spans="1:12" x14ac:dyDescent="0.25">
      <c r="A9" s="69" t="s">
        <v>275</v>
      </c>
      <c r="B9" s="69" t="s">
        <v>275</v>
      </c>
      <c r="C9" s="40" t="s">
        <v>275</v>
      </c>
      <c r="D9" s="40" t="s">
        <v>275</v>
      </c>
      <c r="E9" s="40" t="s">
        <v>275</v>
      </c>
      <c r="F9" s="69" t="s">
        <v>275</v>
      </c>
      <c r="G9" s="69" t="s">
        <v>275</v>
      </c>
      <c r="H9" s="40" t="s">
        <v>275</v>
      </c>
      <c r="I9" s="40" t="s">
        <v>275</v>
      </c>
      <c r="J9" s="69" t="s">
        <v>275</v>
      </c>
      <c r="K9" s="40" t="s">
        <v>275</v>
      </c>
      <c r="L9" s="40" t="s">
        <v>275</v>
      </c>
    </row>
    <row r="10" spans="1:12" x14ac:dyDescent="0.25">
      <c r="A10" s="68" t="s">
        <v>275</v>
      </c>
      <c r="B10" s="68" t="s">
        <v>275</v>
      </c>
      <c r="C10" s="31" t="s">
        <v>275</v>
      </c>
      <c r="D10" s="31" t="s">
        <v>275</v>
      </c>
      <c r="E10" s="31" t="s">
        <v>275</v>
      </c>
      <c r="F10" s="68" t="s">
        <v>275</v>
      </c>
      <c r="G10" s="68" t="s">
        <v>275</v>
      </c>
      <c r="H10" s="31" t="s">
        <v>275</v>
      </c>
      <c r="I10" s="31" t="s">
        <v>275</v>
      </c>
      <c r="J10" s="68" t="s">
        <v>275</v>
      </c>
      <c r="K10" s="31" t="s">
        <v>275</v>
      </c>
      <c r="L10" s="31" t="s">
        <v>275</v>
      </c>
    </row>
    <row r="11" spans="1:12" x14ac:dyDescent="0.25">
      <c r="A11" s="69" t="s">
        <v>275</v>
      </c>
      <c r="B11" s="69" t="s">
        <v>275</v>
      </c>
      <c r="C11" s="40" t="s">
        <v>275</v>
      </c>
      <c r="D11" s="40" t="s">
        <v>275</v>
      </c>
      <c r="E11" s="40" t="s">
        <v>275</v>
      </c>
      <c r="F11" s="69" t="s">
        <v>275</v>
      </c>
      <c r="G11" s="69" t="s">
        <v>275</v>
      </c>
      <c r="H11" s="40" t="s">
        <v>275</v>
      </c>
      <c r="I11" s="40" t="s">
        <v>275</v>
      </c>
      <c r="J11" s="69" t="s">
        <v>275</v>
      </c>
      <c r="K11" s="40" t="s">
        <v>275</v>
      </c>
      <c r="L11" s="40" t="s">
        <v>275</v>
      </c>
    </row>
    <row r="12" spans="1:12" x14ac:dyDescent="0.25">
      <c r="A12" s="68" t="s">
        <v>275</v>
      </c>
      <c r="B12" s="68" t="s">
        <v>275</v>
      </c>
      <c r="C12" s="31" t="s">
        <v>275</v>
      </c>
      <c r="D12" s="31" t="s">
        <v>275</v>
      </c>
      <c r="E12" s="31" t="s">
        <v>275</v>
      </c>
      <c r="F12" s="68" t="s">
        <v>275</v>
      </c>
      <c r="G12" s="68" t="s">
        <v>275</v>
      </c>
      <c r="H12" s="31" t="s">
        <v>275</v>
      </c>
      <c r="I12" s="31" t="s">
        <v>275</v>
      </c>
      <c r="J12" s="68" t="s">
        <v>275</v>
      </c>
      <c r="K12" s="31" t="s">
        <v>275</v>
      </c>
      <c r="L12" s="31" t="s">
        <v>275</v>
      </c>
    </row>
    <row r="13" spans="1:12" x14ac:dyDescent="0.25">
      <c r="A13" s="69" t="s">
        <v>275</v>
      </c>
      <c r="B13" s="69" t="s">
        <v>275</v>
      </c>
      <c r="C13" s="40" t="s">
        <v>275</v>
      </c>
      <c r="D13" s="40" t="s">
        <v>275</v>
      </c>
      <c r="E13" s="40" t="s">
        <v>275</v>
      </c>
      <c r="F13" s="69" t="s">
        <v>275</v>
      </c>
      <c r="G13" s="69" t="s">
        <v>275</v>
      </c>
      <c r="H13" s="40" t="s">
        <v>275</v>
      </c>
      <c r="I13" s="40" t="s">
        <v>275</v>
      </c>
      <c r="J13" s="69" t="s">
        <v>275</v>
      </c>
      <c r="K13" s="40" t="s">
        <v>275</v>
      </c>
      <c r="L13" s="40" t="s">
        <v>275</v>
      </c>
    </row>
    <row r="14" spans="1:12" x14ac:dyDescent="0.25">
      <c r="A14" s="68" t="s">
        <v>275</v>
      </c>
      <c r="B14" s="68" t="s">
        <v>275</v>
      </c>
      <c r="C14" s="31" t="s">
        <v>275</v>
      </c>
      <c r="D14" s="31" t="s">
        <v>275</v>
      </c>
      <c r="E14" s="31" t="s">
        <v>275</v>
      </c>
      <c r="F14" s="68" t="s">
        <v>275</v>
      </c>
      <c r="G14" s="68" t="s">
        <v>275</v>
      </c>
      <c r="H14" s="31" t="s">
        <v>275</v>
      </c>
      <c r="I14" s="31" t="s">
        <v>275</v>
      </c>
      <c r="J14" s="68" t="s">
        <v>275</v>
      </c>
      <c r="K14" s="31" t="s">
        <v>275</v>
      </c>
      <c r="L14" s="31" t="s">
        <v>275</v>
      </c>
    </row>
    <row r="15" spans="1:12" x14ac:dyDescent="0.25">
      <c r="A15" s="69" t="s">
        <v>275</v>
      </c>
      <c r="B15" s="69" t="s">
        <v>275</v>
      </c>
      <c r="C15" s="40" t="s">
        <v>275</v>
      </c>
      <c r="D15" s="40" t="s">
        <v>275</v>
      </c>
      <c r="E15" s="40" t="s">
        <v>275</v>
      </c>
      <c r="F15" s="69" t="s">
        <v>275</v>
      </c>
      <c r="G15" s="69" t="s">
        <v>275</v>
      </c>
      <c r="H15" s="40" t="s">
        <v>275</v>
      </c>
      <c r="I15" s="40" t="s">
        <v>275</v>
      </c>
      <c r="J15" s="69" t="s">
        <v>275</v>
      </c>
      <c r="K15" s="40" t="s">
        <v>275</v>
      </c>
      <c r="L15" s="40" t="s">
        <v>275</v>
      </c>
    </row>
    <row r="16" spans="1:12" x14ac:dyDescent="0.25">
      <c r="A16" s="68" t="s">
        <v>275</v>
      </c>
      <c r="B16" s="68" t="s">
        <v>275</v>
      </c>
      <c r="C16" s="31" t="s">
        <v>275</v>
      </c>
      <c r="D16" s="31" t="s">
        <v>275</v>
      </c>
      <c r="E16" s="31" t="s">
        <v>275</v>
      </c>
      <c r="F16" s="68" t="s">
        <v>275</v>
      </c>
      <c r="G16" s="68" t="s">
        <v>275</v>
      </c>
      <c r="H16" s="31" t="s">
        <v>275</v>
      </c>
      <c r="I16" s="31" t="s">
        <v>275</v>
      </c>
      <c r="J16" s="68" t="s">
        <v>275</v>
      </c>
      <c r="K16" s="31" t="s">
        <v>275</v>
      </c>
      <c r="L16" s="31" t="s">
        <v>275</v>
      </c>
    </row>
  </sheetData>
  <autoFilter ref="A1:L16"/>
  <dataValidations count="6">
    <dataValidation type="list" allowBlank="1" sqref="F10:F16">
      <formula1>"Critical,High,Medium,Low"</formula1>
    </dataValidation>
    <dataValidation type="list" allowBlank="1" sqref="F2:F16">
      <formula1>"Critical,High,Medium,Low"</formula1>
    </dataValidation>
    <dataValidation type="list" allowBlank="1" sqref="G10:G16">
      <formula1>"P0 - Critical,P1 - High,P2 - Medium,P3 - Low"</formula1>
    </dataValidation>
    <dataValidation type="list" allowBlank="1" sqref="G2:G16">
      <formula1>"P0 - Critical,P1 - High,P2 - Medium,P3 - Low"</formula1>
    </dataValidation>
    <dataValidation type="list" allowBlank="1" sqref="J10:J16">
      <formula1>"Open,Investigating,In Progress,Pending Verification,Resolved,Closed"</formula1>
    </dataValidation>
    <dataValidation type="list" allowBlank="1" sqref="J2:J16">
      <formula1>"Open,Investigating,In Progress,Pending Verification,Resolved,Closed"</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L1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3" width="20" customWidth="1"/>
    <col min="4" max="4" width="24" customWidth="1"/>
    <col min="5" max="5" width="44" customWidth="1"/>
    <col min="6" max="6" width="36" customWidth="1"/>
    <col min="7" max="7" width="38" customWidth="1"/>
    <col min="8" max="8" width="16" customWidth="1"/>
    <col min="9" max="9" width="26" customWidth="1"/>
    <col min="10" max="10" width="24" customWidth="1"/>
    <col min="11" max="11" width="18" customWidth="1"/>
    <col min="12" max="12" width="44" customWidth="1"/>
  </cols>
  <sheetData>
    <row r="1" spans="1:12" x14ac:dyDescent="0.25">
      <c r="A1" s="30" t="s">
        <v>592</v>
      </c>
      <c r="B1" s="30" t="s">
        <v>584</v>
      </c>
      <c r="C1" s="30" t="s">
        <v>593</v>
      </c>
      <c r="D1" s="30" t="s">
        <v>594</v>
      </c>
      <c r="E1" s="30" t="s">
        <v>595</v>
      </c>
      <c r="F1" s="30" t="s">
        <v>596</v>
      </c>
      <c r="G1" s="30" t="s">
        <v>597</v>
      </c>
      <c r="H1" s="30" t="s">
        <v>598</v>
      </c>
      <c r="I1" s="30" t="s">
        <v>599</v>
      </c>
      <c r="J1" s="30" t="s">
        <v>600</v>
      </c>
      <c r="K1" s="30" t="s">
        <v>601</v>
      </c>
      <c r="L1" s="30" t="s">
        <v>602</v>
      </c>
    </row>
    <row r="2" spans="1:12" x14ac:dyDescent="0.25">
      <c r="A2" s="68" t="s">
        <v>275</v>
      </c>
      <c r="B2" s="68" t="s">
        <v>275</v>
      </c>
      <c r="C2" s="31" t="s">
        <v>275</v>
      </c>
      <c r="D2" s="31" t="s">
        <v>275</v>
      </c>
      <c r="E2" s="31" t="s">
        <v>275</v>
      </c>
      <c r="F2" s="31" t="s">
        <v>275</v>
      </c>
      <c r="G2" s="31" t="s">
        <v>275</v>
      </c>
      <c r="H2" s="68" t="s">
        <v>275</v>
      </c>
      <c r="I2" s="68" t="s">
        <v>275</v>
      </c>
      <c r="J2" s="68" t="s">
        <v>275</v>
      </c>
      <c r="K2" s="31" t="s">
        <v>275</v>
      </c>
      <c r="L2" s="31" t="s">
        <v>275</v>
      </c>
    </row>
    <row r="3" spans="1:12" x14ac:dyDescent="0.25">
      <c r="A3" s="69" t="s">
        <v>275</v>
      </c>
      <c r="B3" s="69" t="s">
        <v>275</v>
      </c>
      <c r="C3" s="40" t="s">
        <v>275</v>
      </c>
      <c r="D3" s="40" t="s">
        <v>275</v>
      </c>
      <c r="E3" s="40" t="s">
        <v>275</v>
      </c>
      <c r="F3" s="40" t="s">
        <v>275</v>
      </c>
      <c r="G3" s="40" t="s">
        <v>275</v>
      </c>
      <c r="H3" s="69" t="s">
        <v>275</v>
      </c>
      <c r="I3" s="69" t="s">
        <v>275</v>
      </c>
      <c r="J3" s="69" t="s">
        <v>275</v>
      </c>
      <c r="K3" s="40" t="s">
        <v>275</v>
      </c>
      <c r="L3" s="40" t="s">
        <v>275</v>
      </c>
    </row>
    <row r="4" spans="1:12" x14ac:dyDescent="0.25">
      <c r="A4" s="68" t="s">
        <v>275</v>
      </c>
      <c r="B4" s="68" t="s">
        <v>275</v>
      </c>
      <c r="C4" s="31" t="s">
        <v>275</v>
      </c>
      <c r="D4" s="31" t="s">
        <v>275</v>
      </c>
      <c r="E4" s="31" t="s">
        <v>275</v>
      </c>
      <c r="F4" s="31" t="s">
        <v>275</v>
      </c>
      <c r="G4" s="31" t="s">
        <v>275</v>
      </c>
      <c r="H4" s="68" t="s">
        <v>275</v>
      </c>
      <c r="I4" s="68" t="s">
        <v>275</v>
      </c>
      <c r="J4" s="68" t="s">
        <v>275</v>
      </c>
      <c r="K4" s="31" t="s">
        <v>275</v>
      </c>
      <c r="L4" s="31" t="s">
        <v>275</v>
      </c>
    </row>
    <row r="5" spans="1:12" x14ac:dyDescent="0.25">
      <c r="A5" s="69" t="s">
        <v>275</v>
      </c>
      <c r="B5" s="69" t="s">
        <v>275</v>
      </c>
      <c r="C5" s="40" t="s">
        <v>275</v>
      </c>
      <c r="D5" s="40" t="s">
        <v>275</v>
      </c>
      <c r="E5" s="40" t="s">
        <v>275</v>
      </c>
      <c r="F5" s="40" t="s">
        <v>275</v>
      </c>
      <c r="G5" s="40" t="s">
        <v>275</v>
      </c>
      <c r="H5" s="69" t="s">
        <v>275</v>
      </c>
      <c r="I5" s="69" t="s">
        <v>275</v>
      </c>
      <c r="J5" s="69" t="s">
        <v>275</v>
      </c>
      <c r="K5" s="40" t="s">
        <v>275</v>
      </c>
      <c r="L5" s="40" t="s">
        <v>275</v>
      </c>
    </row>
    <row r="6" spans="1:12" x14ac:dyDescent="0.25">
      <c r="A6" s="68" t="s">
        <v>275</v>
      </c>
      <c r="B6" s="68" t="s">
        <v>275</v>
      </c>
      <c r="C6" s="31" t="s">
        <v>275</v>
      </c>
      <c r="D6" s="31" t="s">
        <v>275</v>
      </c>
      <c r="E6" s="31" t="s">
        <v>275</v>
      </c>
      <c r="F6" s="31" t="s">
        <v>275</v>
      </c>
      <c r="G6" s="31" t="s">
        <v>275</v>
      </c>
      <c r="H6" s="68" t="s">
        <v>275</v>
      </c>
      <c r="I6" s="68" t="s">
        <v>275</v>
      </c>
      <c r="J6" s="68" t="s">
        <v>275</v>
      </c>
      <c r="K6" s="31" t="s">
        <v>275</v>
      </c>
      <c r="L6" s="31" t="s">
        <v>275</v>
      </c>
    </row>
    <row r="7" spans="1:12" x14ac:dyDescent="0.25">
      <c r="A7" s="69" t="s">
        <v>275</v>
      </c>
      <c r="B7" s="69" t="s">
        <v>275</v>
      </c>
      <c r="C7" s="40" t="s">
        <v>275</v>
      </c>
      <c r="D7" s="40" t="s">
        <v>275</v>
      </c>
      <c r="E7" s="40" t="s">
        <v>275</v>
      </c>
      <c r="F7" s="40" t="s">
        <v>275</v>
      </c>
      <c r="G7" s="40" t="s">
        <v>275</v>
      </c>
      <c r="H7" s="69" t="s">
        <v>275</v>
      </c>
      <c r="I7" s="69" t="s">
        <v>275</v>
      </c>
      <c r="J7" s="69" t="s">
        <v>275</v>
      </c>
      <c r="K7" s="40" t="s">
        <v>275</v>
      </c>
      <c r="L7" s="40" t="s">
        <v>275</v>
      </c>
    </row>
    <row r="8" spans="1:12" x14ac:dyDescent="0.25">
      <c r="A8" s="68" t="s">
        <v>275</v>
      </c>
      <c r="B8" s="68" t="s">
        <v>275</v>
      </c>
      <c r="C8" s="31" t="s">
        <v>275</v>
      </c>
      <c r="D8" s="31" t="s">
        <v>275</v>
      </c>
      <c r="E8" s="31" t="s">
        <v>275</v>
      </c>
      <c r="F8" s="31" t="s">
        <v>275</v>
      </c>
      <c r="G8" s="31" t="s">
        <v>275</v>
      </c>
      <c r="H8" s="68" t="s">
        <v>275</v>
      </c>
      <c r="I8" s="68" t="s">
        <v>275</v>
      </c>
      <c r="J8" s="68" t="s">
        <v>275</v>
      </c>
      <c r="K8" s="31" t="s">
        <v>275</v>
      </c>
      <c r="L8" s="31" t="s">
        <v>275</v>
      </c>
    </row>
    <row r="9" spans="1:12" x14ac:dyDescent="0.25">
      <c r="A9" s="69" t="s">
        <v>275</v>
      </c>
      <c r="B9" s="69" t="s">
        <v>275</v>
      </c>
      <c r="C9" s="40" t="s">
        <v>275</v>
      </c>
      <c r="D9" s="40" t="s">
        <v>275</v>
      </c>
      <c r="E9" s="40" t="s">
        <v>275</v>
      </c>
      <c r="F9" s="40" t="s">
        <v>275</v>
      </c>
      <c r="G9" s="40" t="s">
        <v>275</v>
      </c>
      <c r="H9" s="69" t="s">
        <v>275</v>
      </c>
      <c r="I9" s="69" t="s">
        <v>275</v>
      </c>
      <c r="J9" s="69" t="s">
        <v>275</v>
      </c>
      <c r="K9" s="40" t="s">
        <v>275</v>
      </c>
      <c r="L9" s="40" t="s">
        <v>275</v>
      </c>
    </row>
    <row r="10" spans="1:12" x14ac:dyDescent="0.25">
      <c r="A10" s="68" t="s">
        <v>275</v>
      </c>
      <c r="B10" s="68" t="s">
        <v>275</v>
      </c>
      <c r="C10" s="31" t="s">
        <v>275</v>
      </c>
      <c r="D10" s="31" t="s">
        <v>275</v>
      </c>
      <c r="E10" s="31" t="s">
        <v>275</v>
      </c>
      <c r="F10" s="31" t="s">
        <v>275</v>
      </c>
      <c r="G10" s="31" t="s">
        <v>275</v>
      </c>
      <c r="H10" s="68" t="s">
        <v>275</v>
      </c>
      <c r="I10" s="68" t="s">
        <v>275</v>
      </c>
      <c r="J10" s="68" t="s">
        <v>275</v>
      </c>
      <c r="K10" s="31" t="s">
        <v>275</v>
      </c>
      <c r="L10" s="31" t="s">
        <v>275</v>
      </c>
    </row>
    <row r="11" spans="1:12" x14ac:dyDescent="0.25">
      <c r="A11" s="69" t="s">
        <v>275</v>
      </c>
      <c r="B11" s="69" t="s">
        <v>275</v>
      </c>
      <c r="C11" s="40" t="s">
        <v>275</v>
      </c>
      <c r="D11" s="40" t="s">
        <v>275</v>
      </c>
      <c r="E11" s="40" t="s">
        <v>275</v>
      </c>
      <c r="F11" s="40" t="s">
        <v>275</v>
      </c>
      <c r="G11" s="40" t="s">
        <v>275</v>
      </c>
      <c r="H11" s="69" t="s">
        <v>275</v>
      </c>
      <c r="I11" s="69" t="s">
        <v>275</v>
      </c>
      <c r="J11" s="69" t="s">
        <v>275</v>
      </c>
      <c r="K11" s="40" t="s">
        <v>275</v>
      </c>
      <c r="L11" s="40" t="s">
        <v>275</v>
      </c>
    </row>
    <row r="12" spans="1:12" x14ac:dyDescent="0.25">
      <c r="A12" s="68" t="s">
        <v>275</v>
      </c>
      <c r="B12" s="68" t="s">
        <v>275</v>
      </c>
      <c r="C12" s="31" t="s">
        <v>275</v>
      </c>
      <c r="D12" s="31" t="s">
        <v>275</v>
      </c>
      <c r="E12" s="31" t="s">
        <v>275</v>
      </c>
      <c r="F12" s="31" t="s">
        <v>275</v>
      </c>
      <c r="G12" s="31" t="s">
        <v>275</v>
      </c>
      <c r="H12" s="68" t="s">
        <v>275</v>
      </c>
      <c r="I12" s="68" t="s">
        <v>275</v>
      </c>
      <c r="J12" s="68" t="s">
        <v>275</v>
      </c>
      <c r="K12" s="31" t="s">
        <v>275</v>
      </c>
      <c r="L12" s="31" t="s">
        <v>275</v>
      </c>
    </row>
    <row r="13" spans="1:12" x14ac:dyDescent="0.25">
      <c r="A13" s="69" t="s">
        <v>275</v>
      </c>
      <c r="B13" s="69" t="s">
        <v>275</v>
      </c>
      <c r="C13" s="40" t="s">
        <v>275</v>
      </c>
      <c r="D13" s="40" t="s">
        <v>275</v>
      </c>
      <c r="E13" s="40" t="s">
        <v>275</v>
      </c>
      <c r="F13" s="40" t="s">
        <v>275</v>
      </c>
      <c r="G13" s="40" t="s">
        <v>275</v>
      </c>
      <c r="H13" s="69" t="s">
        <v>275</v>
      </c>
      <c r="I13" s="69" t="s">
        <v>275</v>
      </c>
      <c r="J13" s="69" t="s">
        <v>275</v>
      </c>
      <c r="K13" s="40" t="s">
        <v>275</v>
      </c>
      <c r="L13" s="40" t="s">
        <v>275</v>
      </c>
    </row>
    <row r="14" spans="1:12" x14ac:dyDescent="0.25">
      <c r="A14" s="68" t="s">
        <v>275</v>
      </c>
      <c r="B14" s="68" t="s">
        <v>275</v>
      </c>
      <c r="C14" s="31" t="s">
        <v>275</v>
      </c>
      <c r="D14" s="31" t="s">
        <v>275</v>
      </c>
      <c r="E14" s="31" t="s">
        <v>275</v>
      </c>
      <c r="F14" s="31" t="s">
        <v>275</v>
      </c>
      <c r="G14" s="31" t="s">
        <v>275</v>
      </c>
      <c r="H14" s="68" t="s">
        <v>275</v>
      </c>
      <c r="I14" s="68" t="s">
        <v>275</v>
      </c>
      <c r="J14" s="68" t="s">
        <v>275</v>
      </c>
      <c r="K14" s="31" t="s">
        <v>275</v>
      </c>
      <c r="L14" s="31" t="s">
        <v>275</v>
      </c>
    </row>
    <row r="15" spans="1:12" x14ac:dyDescent="0.25">
      <c r="A15" s="69" t="s">
        <v>275</v>
      </c>
      <c r="B15" s="69" t="s">
        <v>275</v>
      </c>
      <c r="C15" s="40" t="s">
        <v>275</v>
      </c>
      <c r="D15" s="40" t="s">
        <v>275</v>
      </c>
      <c r="E15" s="40" t="s">
        <v>275</v>
      </c>
      <c r="F15" s="40" t="s">
        <v>275</v>
      </c>
      <c r="G15" s="40" t="s">
        <v>275</v>
      </c>
      <c r="H15" s="69" t="s">
        <v>275</v>
      </c>
      <c r="I15" s="69" t="s">
        <v>275</v>
      </c>
      <c r="J15" s="69" t="s">
        <v>275</v>
      </c>
      <c r="K15" s="40" t="s">
        <v>275</v>
      </c>
      <c r="L15" s="40" t="s">
        <v>275</v>
      </c>
    </row>
    <row r="16" spans="1:12" x14ac:dyDescent="0.25">
      <c r="A16" s="68" t="s">
        <v>275</v>
      </c>
      <c r="B16" s="68" t="s">
        <v>275</v>
      </c>
      <c r="C16" s="31" t="s">
        <v>275</v>
      </c>
      <c r="D16" s="31" t="s">
        <v>275</v>
      </c>
      <c r="E16" s="31" t="s">
        <v>275</v>
      </c>
      <c r="F16" s="31" t="s">
        <v>275</v>
      </c>
      <c r="G16" s="31" t="s">
        <v>275</v>
      </c>
      <c r="H16" s="68" t="s">
        <v>275</v>
      </c>
      <c r="I16" s="68" t="s">
        <v>275</v>
      </c>
      <c r="J16" s="68" t="s">
        <v>275</v>
      </c>
      <c r="K16" s="31" t="s">
        <v>275</v>
      </c>
      <c r="L16" s="31" t="s">
        <v>275</v>
      </c>
    </row>
  </sheetData>
  <autoFilter ref="A1:L16"/>
  <dataValidations count="2">
    <dataValidation type="list" allowBlank="1" sqref="I10:I16">
      <formula1>"Under Review,Approved (In Scope),Approved (Extended Timeline),Deferred to Phase 2 (Post-Launch),Rejected"</formula1>
    </dataValidation>
    <dataValidation type="list" allowBlank="1" sqref="I2:I16">
      <formula1>"Under Review,Approved (In Scope),Approved (Extended Timeline),Deferred to Phase 2 (Post-Launch),Rejected"</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J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8" customWidth="1"/>
    <col min="3" max="3" width="16" customWidth="1"/>
    <col min="4" max="4" width="20" customWidth="1"/>
    <col min="5" max="5" width="16" customWidth="1"/>
    <col min="6" max="6" width="44" customWidth="1"/>
    <col min="7" max="7" width="46" customWidth="1"/>
    <col min="8" max="8" width="22" customWidth="1"/>
    <col min="9" max="9" width="16" customWidth="1"/>
    <col min="10" max="10" width="24" customWidth="1"/>
  </cols>
  <sheetData>
    <row r="1" spans="1:10" x14ac:dyDescent="0.25">
      <c r="A1" s="30" t="s">
        <v>603</v>
      </c>
      <c r="B1" s="30" t="s">
        <v>604</v>
      </c>
      <c r="C1" s="30" t="s">
        <v>25</v>
      </c>
      <c r="D1" s="30" t="s">
        <v>26</v>
      </c>
      <c r="E1" s="30" t="s">
        <v>74</v>
      </c>
      <c r="F1" s="30" t="s">
        <v>605</v>
      </c>
      <c r="G1" s="30" t="s">
        <v>606</v>
      </c>
      <c r="H1" s="30" t="s">
        <v>81</v>
      </c>
      <c r="I1" s="30" t="s">
        <v>607</v>
      </c>
      <c r="J1" s="30" t="s">
        <v>608</v>
      </c>
    </row>
    <row r="2" spans="1:10" x14ac:dyDescent="0.25">
      <c r="A2" s="21" t="s">
        <v>609</v>
      </c>
      <c r="B2" s="22" t="s">
        <v>610</v>
      </c>
      <c r="C2" s="25" t="s">
        <v>611</v>
      </c>
      <c r="D2" s="26" t="s">
        <v>612</v>
      </c>
      <c r="E2" s="24" t="s">
        <v>613</v>
      </c>
      <c r="F2" s="31" t="s">
        <v>614</v>
      </c>
      <c r="G2" s="31" t="s">
        <v>615</v>
      </c>
      <c r="H2" s="70" t="s">
        <v>616</v>
      </c>
      <c r="I2" s="24" t="s">
        <v>612</v>
      </c>
      <c r="J2" s="21" t="s">
        <v>617</v>
      </c>
    </row>
    <row r="3" spans="1:10" x14ac:dyDescent="0.25">
      <c r="A3" s="27" t="s">
        <v>618</v>
      </c>
      <c r="B3" s="28" t="s">
        <v>619</v>
      </c>
      <c r="C3" s="25" t="s">
        <v>620</v>
      </c>
      <c r="D3" s="26" t="s">
        <v>48</v>
      </c>
      <c r="E3" s="29" t="s">
        <v>613</v>
      </c>
      <c r="F3" s="40" t="s">
        <v>621</v>
      </c>
      <c r="G3" s="40" t="s">
        <v>622</v>
      </c>
      <c r="H3" s="71" t="s">
        <v>623</v>
      </c>
      <c r="I3" s="29" t="s">
        <v>48</v>
      </c>
      <c r="J3" s="27" t="s">
        <v>617</v>
      </c>
    </row>
    <row r="4" spans="1:10" x14ac:dyDescent="0.25">
      <c r="A4" s="21" t="s">
        <v>624</v>
      </c>
      <c r="B4" s="22" t="s">
        <v>625</v>
      </c>
      <c r="C4" s="25" t="s">
        <v>48</v>
      </c>
      <c r="D4" s="26" t="s">
        <v>43</v>
      </c>
      <c r="E4" s="24" t="s">
        <v>626</v>
      </c>
      <c r="F4" s="31" t="s">
        <v>627</v>
      </c>
      <c r="G4" s="31" t="s">
        <v>628</v>
      </c>
      <c r="H4" s="70" t="s">
        <v>623</v>
      </c>
      <c r="I4" s="24" t="s">
        <v>43</v>
      </c>
      <c r="J4" s="21" t="s">
        <v>629</v>
      </c>
    </row>
    <row r="5" spans="1:10" x14ac:dyDescent="0.25">
      <c r="A5" s="27" t="s">
        <v>630</v>
      </c>
      <c r="B5" s="28" t="s">
        <v>631</v>
      </c>
      <c r="C5" s="25" t="s">
        <v>43</v>
      </c>
      <c r="D5" s="26" t="s">
        <v>44</v>
      </c>
      <c r="E5" s="29" t="s">
        <v>626</v>
      </c>
      <c r="F5" s="40" t="s">
        <v>632</v>
      </c>
      <c r="G5" s="40" t="s">
        <v>633</v>
      </c>
      <c r="H5" s="71" t="s">
        <v>623</v>
      </c>
      <c r="I5" s="29" t="s">
        <v>44</v>
      </c>
      <c r="J5" s="27" t="s">
        <v>634</v>
      </c>
    </row>
    <row r="6" spans="1:10" x14ac:dyDescent="0.25">
      <c r="A6" s="21" t="s">
        <v>635</v>
      </c>
      <c r="B6" s="22" t="s">
        <v>636</v>
      </c>
      <c r="C6" s="25" t="s">
        <v>637</v>
      </c>
      <c r="D6" s="26" t="s">
        <v>34</v>
      </c>
      <c r="E6" s="24" t="s">
        <v>626</v>
      </c>
      <c r="F6" s="31" t="s">
        <v>638</v>
      </c>
      <c r="G6" s="31" t="s">
        <v>639</v>
      </c>
      <c r="H6" s="70" t="s">
        <v>623</v>
      </c>
      <c r="I6" s="24" t="s">
        <v>34</v>
      </c>
      <c r="J6" s="21" t="s">
        <v>640</v>
      </c>
    </row>
    <row r="7" spans="1:10" x14ac:dyDescent="0.25">
      <c r="A7" s="27" t="s">
        <v>641</v>
      </c>
      <c r="B7" s="28" t="s">
        <v>642</v>
      </c>
      <c r="C7" s="25" t="s">
        <v>67</v>
      </c>
      <c r="D7" s="26" t="s">
        <v>643</v>
      </c>
      <c r="E7" s="29" t="s">
        <v>644</v>
      </c>
      <c r="F7" s="40" t="s">
        <v>645</v>
      </c>
      <c r="G7" s="40" t="s">
        <v>646</v>
      </c>
      <c r="H7" s="71" t="s">
        <v>623</v>
      </c>
      <c r="I7" s="29" t="s">
        <v>643</v>
      </c>
      <c r="J7" s="27" t="s">
        <v>647</v>
      </c>
    </row>
    <row r="8" spans="1:10" x14ac:dyDescent="0.25">
      <c r="A8" s="21" t="s">
        <v>648</v>
      </c>
      <c r="B8" s="22" t="s">
        <v>649</v>
      </c>
      <c r="C8" s="25" t="s">
        <v>650</v>
      </c>
      <c r="D8" s="26" t="s">
        <v>63</v>
      </c>
      <c r="E8" s="24" t="s">
        <v>651</v>
      </c>
      <c r="F8" s="31" t="s">
        <v>652</v>
      </c>
      <c r="G8" s="31" t="s">
        <v>653</v>
      </c>
      <c r="H8" s="70" t="s">
        <v>623</v>
      </c>
      <c r="I8" s="24" t="s">
        <v>63</v>
      </c>
      <c r="J8" s="21" t="s">
        <v>654</v>
      </c>
    </row>
    <row r="9" spans="1:10" x14ac:dyDescent="0.25">
      <c r="A9" s="27" t="s">
        <v>655</v>
      </c>
      <c r="B9" s="28" t="s">
        <v>656</v>
      </c>
      <c r="C9" s="25" t="s">
        <v>643</v>
      </c>
      <c r="D9" s="26" t="s">
        <v>68</v>
      </c>
      <c r="E9" s="29" t="s">
        <v>651</v>
      </c>
      <c r="F9" s="40" t="s">
        <v>657</v>
      </c>
      <c r="G9" s="40" t="s">
        <v>658</v>
      </c>
      <c r="H9" s="71" t="s">
        <v>623</v>
      </c>
      <c r="I9" s="29" t="s">
        <v>68</v>
      </c>
      <c r="J9" s="27" t="s">
        <v>659</v>
      </c>
    </row>
    <row r="10" spans="1:10" x14ac:dyDescent="0.25">
      <c r="A10" s="21" t="s">
        <v>660</v>
      </c>
      <c r="B10" s="22" t="s">
        <v>661</v>
      </c>
      <c r="C10" s="25" t="s">
        <v>39</v>
      </c>
      <c r="D10" s="26" t="s">
        <v>72</v>
      </c>
      <c r="E10" s="24" t="s">
        <v>651</v>
      </c>
      <c r="F10" s="31" t="s">
        <v>662</v>
      </c>
      <c r="G10" s="31" t="s">
        <v>663</v>
      </c>
      <c r="H10" s="70" t="s">
        <v>623</v>
      </c>
      <c r="I10" s="24" t="s">
        <v>72</v>
      </c>
      <c r="J10" s="21" t="s">
        <v>664</v>
      </c>
    </row>
  </sheetData>
  <autoFilter ref="A1:J10"/>
  <dataValidations count="2">
    <dataValidation type="list" sqref="H10">
      <formula1>"Ready to Start,In Progress,Pending Pre-requisite,Achieved / Signed Off,Delayed"</formula1>
    </dataValidation>
    <dataValidation type="list" sqref="H2:H10">
      <formula1>"Ready to Start,In Progress,Pending Pre-requisite,Achieved / Signed Off,Delayed"</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748B"/>
  </sheetPr>
  <dimension ref="A1:H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38" customWidth="1"/>
    <col min="4" max="4" width="22" customWidth="1"/>
    <col min="5" max="5" width="44" customWidth="1"/>
    <col min="6" max="6" width="18" customWidth="1"/>
    <col min="7" max="7" width="16" customWidth="1"/>
    <col min="8" max="8" width="48" customWidth="1"/>
  </cols>
  <sheetData>
    <row r="1" spans="1:8" x14ac:dyDescent="0.25">
      <c r="A1" s="30" t="s">
        <v>665</v>
      </c>
      <c r="B1" s="30" t="s">
        <v>666</v>
      </c>
      <c r="C1" s="30" t="s">
        <v>667</v>
      </c>
      <c r="D1" s="30" t="s">
        <v>668</v>
      </c>
      <c r="E1" s="30" t="s">
        <v>669</v>
      </c>
      <c r="F1" s="30" t="s">
        <v>670</v>
      </c>
      <c r="G1" s="30" t="s">
        <v>671</v>
      </c>
      <c r="H1" s="30" t="s">
        <v>672</v>
      </c>
    </row>
    <row r="2" spans="1:8" x14ac:dyDescent="0.25">
      <c r="A2" s="21" t="s">
        <v>673</v>
      </c>
      <c r="B2" s="22" t="s">
        <v>674</v>
      </c>
      <c r="C2" s="22" t="s">
        <v>675</v>
      </c>
      <c r="D2" s="24" t="s">
        <v>676</v>
      </c>
      <c r="E2" s="31" t="s">
        <v>677</v>
      </c>
      <c r="F2" s="21" t="s">
        <v>678</v>
      </c>
      <c r="G2" s="21" t="s">
        <v>679</v>
      </c>
      <c r="H2" s="31" t="s">
        <v>680</v>
      </c>
    </row>
    <row r="3" spans="1:8" x14ac:dyDescent="0.25">
      <c r="A3" s="27" t="s">
        <v>681</v>
      </c>
      <c r="B3" s="28" t="s">
        <v>682</v>
      </c>
      <c r="C3" s="28" t="s">
        <v>683</v>
      </c>
      <c r="D3" s="29" t="s">
        <v>676</v>
      </c>
      <c r="E3" s="40" t="s">
        <v>684</v>
      </c>
      <c r="F3" s="27" t="s">
        <v>678</v>
      </c>
      <c r="G3" s="27" t="s">
        <v>679</v>
      </c>
      <c r="H3" s="40" t="s">
        <v>685</v>
      </c>
    </row>
    <row r="4" spans="1:8" x14ac:dyDescent="0.25">
      <c r="A4" s="21" t="s">
        <v>686</v>
      </c>
      <c r="B4" s="22" t="s">
        <v>687</v>
      </c>
      <c r="C4" s="22" t="s">
        <v>688</v>
      </c>
      <c r="D4" s="24" t="s">
        <v>676</v>
      </c>
      <c r="E4" s="31" t="s">
        <v>689</v>
      </c>
      <c r="F4" s="21" t="s">
        <v>678</v>
      </c>
      <c r="G4" s="21" t="s">
        <v>679</v>
      </c>
      <c r="H4" s="31" t="s">
        <v>690</v>
      </c>
    </row>
    <row r="5" spans="1:8" x14ac:dyDescent="0.25">
      <c r="A5" s="27" t="s">
        <v>691</v>
      </c>
      <c r="B5" s="28" t="s">
        <v>692</v>
      </c>
      <c r="C5" s="28" t="s">
        <v>693</v>
      </c>
      <c r="D5" s="29" t="s">
        <v>676</v>
      </c>
      <c r="E5" s="40" t="s">
        <v>694</v>
      </c>
      <c r="F5" s="27" t="s">
        <v>678</v>
      </c>
      <c r="G5" s="27" t="s">
        <v>695</v>
      </c>
      <c r="H5" s="40" t="s">
        <v>696</v>
      </c>
    </row>
    <row r="6" spans="1:8" x14ac:dyDescent="0.25">
      <c r="A6" s="21" t="s">
        <v>697</v>
      </c>
      <c r="B6" s="22" t="s">
        <v>698</v>
      </c>
      <c r="C6" s="22" t="s">
        <v>699</v>
      </c>
      <c r="D6" s="24" t="s">
        <v>676</v>
      </c>
      <c r="E6" s="31" t="s">
        <v>700</v>
      </c>
      <c r="F6" s="21" t="s">
        <v>678</v>
      </c>
      <c r="G6" s="21" t="s">
        <v>701</v>
      </c>
      <c r="H6" s="31" t="s">
        <v>702</v>
      </c>
    </row>
    <row r="7" spans="1:8" x14ac:dyDescent="0.25">
      <c r="A7" s="27" t="s">
        <v>703</v>
      </c>
      <c r="B7" s="28" t="s">
        <v>704</v>
      </c>
      <c r="C7" s="28" t="s">
        <v>705</v>
      </c>
      <c r="D7" s="29" t="s">
        <v>676</v>
      </c>
      <c r="E7" s="40" t="s">
        <v>706</v>
      </c>
      <c r="F7" s="27" t="s">
        <v>678</v>
      </c>
      <c r="G7" s="27" t="s">
        <v>695</v>
      </c>
      <c r="H7" s="40" t="s">
        <v>707</v>
      </c>
    </row>
    <row r="8" spans="1:8" x14ac:dyDescent="0.25">
      <c r="A8" s="21" t="s">
        <v>708</v>
      </c>
      <c r="B8" s="22" t="s">
        <v>709</v>
      </c>
      <c r="C8" s="22" t="s">
        <v>710</v>
      </c>
      <c r="D8" s="24" t="s">
        <v>676</v>
      </c>
      <c r="E8" s="31" t="s">
        <v>711</v>
      </c>
      <c r="F8" s="21" t="s">
        <v>678</v>
      </c>
      <c r="G8" s="21" t="s">
        <v>679</v>
      </c>
      <c r="H8" s="31" t="s">
        <v>712</v>
      </c>
    </row>
  </sheetData>
  <autoFilter ref="A1:H8"/>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Development Plan</vt:lpstr>
      <vt:lpstr>Development Calendar - Gantt</vt:lpstr>
      <vt:lpstr>Module Tracker</vt:lpstr>
      <vt:lpstr>Figma Screens by Module</vt:lpstr>
      <vt:lpstr>Bugs &amp; Issues</vt:lpstr>
      <vt:lpstr>Client Feedback - CR</vt:lpstr>
      <vt:lpstr>Milestones</vt:lpstr>
      <vt:lpstr>Dependencies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ElectriCare Engineering Lead</dc:creator>
  <dc:title/>
  <dc:subject/>
  <dc:description/>
  <cp:keywords/>
  <cp:category/>
  <cp:lastModifiedBy>ElectriCare Engineering Lead</cp:lastModifiedBy>
  <dcterms:created xsi:type="dcterms:W3CDTF">2026-10-07T12:00:00Z</dcterms:created>
  <dcterms:modified xsi:type="dcterms:W3CDTF">2026-10-07T12:00:00Z</dcterms:modified>
</cp:coreProperties>
</file>